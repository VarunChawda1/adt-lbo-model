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varun/Downloads/"/>
    </mc:Choice>
  </mc:AlternateContent>
  <xr:revisionPtr revIDLastSave="0" documentId="13_ncr:1_{3F900E3E-774A-7B4C-8668-D2CC515E019F}" xr6:coauthVersionLast="47" xr6:coauthVersionMax="47" xr10:uidLastSave="{00000000-0000-0000-0000-000000000000}"/>
  <bookViews>
    <workbookView xWindow="860" yWindow="780" windowWidth="34560" windowHeight="20460" xr2:uid="{00000000-000D-0000-FFFF-FFFF00000000}"/>
  </bookViews>
  <sheets>
    <sheet name="Summary" sheetId="1" r:id="rId1"/>
    <sheet name="Assumptions" sheetId="2" r:id="rId2"/>
    <sheet name="Dilution" sheetId="3" r:id="rId3"/>
    <sheet name="Sources &amp; Uses" sheetId="4" r:id="rId4"/>
    <sheet name="Operating Model" sheetId="5" r:id="rId5"/>
    <sheet name="Debt Schedule" sheetId="6" r:id="rId6"/>
    <sheet name="Returns Analysis" sheetId="7" r:id="rId7"/>
    <sheet name="Sensitivities" sheetId="8" r:id="rId8"/>
    <sheet name="Calib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9" l="1"/>
  <c r="E22" i="9"/>
  <c r="B22" i="9"/>
  <c r="B24" i="9" s="1"/>
  <c r="E16" i="9"/>
  <c r="E15" i="9"/>
  <c r="E14" i="9"/>
  <c r="E13" i="9"/>
  <c r="D12" i="9"/>
  <c r="C12" i="9"/>
  <c r="B12" i="9"/>
  <c r="B19" i="9" s="1"/>
  <c r="E11" i="9"/>
  <c r="E10" i="9"/>
  <c r="E12" i="9" s="1"/>
  <c r="E19" i="9" s="1"/>
  <c r="D9" i="9"/>
  <c r="C9" i="9"/>
  <c r="B9" i="9"/>
  <c r="B18" i="9" s="1"/>
  <c r="E8" i="9"/>
  <c r="E7" i="9"/>
  <c r="E6" i="9"/>
  <c r="E9" i="9" s="1"/>
  <c r="E18" i="9" s="1"/>
  <c r="E5" i="9"/>
  <c r="E4" i="9"/>
  <c r="B34" i="7"/>
  <c r="B4" i="7"/>
  <c r="G39" i="6"/>
  <c r="G30" i="5" s="1"/>
  <c r="E39" i="6"/>
  <c r="E30" i="5" s="1"/>
  <c r="G38" i="6"/>
  <c r="F38" i="6"/>
  <c r="E38" i="6"/>
  <c r="D38" i="6"/>
  <c r="C38" i="6"/>
  <c r="G37" i="6"/>
  <c r="F37" i="6"/>
  <c r="F39" i="6" s="1"/>
  <c r="F30" i="5" s="1"/>
  <c r="E37" i="6"/>
  <c r="D37" i="6"/>
  <c r="D39" i="6" s="1"/>
  <c r="D30" i="5" s="1"/>
  <c r="C37" i="6"/>
  <c r="C39" i="6" s="1"/>
  <c r="C30" i="5" s="1"/>
  <c r="B37" i="6"/>
  <c r="G25" i="6"/>
  <c r="F25" i="6"/>
  <c r="E25" i="6"/>
  <c r="D25" i="6"/>
  <c r="C25" i="6"/>
  <c r="B24" i="6"/>
  <c r="C20" i="6" s="1"/>
  <c r="G15" i="6"/>
  <c r="F15" i="6"/>
  <c r="E15" i="6"/>
  <c r="D15" i="6"/>
  <c r="C15" i="6"/>
  <c r="G6" i="6"/>
  <c r="F6" i="6"/>
  <c r="E6" i="6"/>
  <c r="D6" i="6"/>
  <c r="C6" i="6"/>
  <c r="D9" i="4"/>
  <c r="B9" i="4"/>
  <c r="B8" i="4"/>
  <c r="B5" i="4"/>
  <c r="D5" i="4" s="1"/>
  <c r="F15" i="3"/>
  <c r="F13" i="3"/>
  <c r="F12" i="3"/>
  <c r="F11" i="3"/>
  <c r="F10" i="3"/>
  <c r="F9" i="3"/>
  <c r="F8" i="3"/>
  <c r="B5" i="3"/>
  <c r="F14" i="3" s="1"/>
  <c r="B56" i="2"/>
  <c r="C56" i="2" s="1"/>
  <c r="B43" i="2"/>
  <c r="B30" i="2"/>
  <c r="B25" i="4" s="1"/>
  <c r="B24" i="2"/>
  <c r="B12" i="2"/>
  <c r="B7" i="5" s="1"/>
  <c r="B8" i="2"/>
  <c r="B14" i="1" s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B15" i="1"/>
  <c r="F6" i="1"/>
  <c r="B6" i="1"/>
  <c r="B58" i="2" l="1"/>
  <c r="B59" i="2"/>
  <c r="F5" i="1"/>
  <c r="B5" i="1"/>
  <c r="F16" i="3"/>
  <c r="B18" i="2" s="1"/>
  <c r="B21" i="2" s="1"/>
  <c r="B25" i="2" s="1"/>
  <c r="B26" i="2" s="1"/>
  <c r="C26" i="6"/>
  <c r="C12" i="5" s="1"/>
  <c r="B61" i="2"/>
  <c r="B13" i="4"/>
  <c r="B4" i="3"/>
  <c r="B60" i="2"/>
  <c r="B28" i="5" s="1"/>
  <c r="B29" i="5" s="1"/>
  <c r="B14" i="4"/>
  <c r="E23" i="9"/>
  <c r="E24" i="9" s="1"/>
  <c r="E25" i="9" s="1"/>
  <c r="B4" i="5"/>
  <c r="D8" i="4"/>
  <c r="B25" i="9"/>
  <c r="B13" i="2"/>
  <c r="C4" i="5" l="1"/>
  <c r="D4" i="5" s="1"/>
  <c r="E27" i="9"/>
  <c r="E26" i="9"/>
  <c r="B11" i="6"/>
  <c r="B23" i="4"/>
  <c r="D13" i="4"/>
  <c r="B7" i="4"/>
  <c r="B22" i="4"/>
  <c r="B11" i="1" s="1"/>
  <c r="B27" i="9"/>
  <c r="B26" i="9"/>
  <c r="B17" i="6"/>
  <c r="C14" i="6" s="1"/>
  <c r="D14" i="4"/>
  <c r="B10" i="1"/>
  <c r="B73" i="2"/>
  <c r="B6" i="7" s="1"/>
  <c r="C24" i="5"/>
  <c r="B6" i="5"/>
  <c r="E11" i="3"/>
  <c r="E10" i="3"/>
  <c r="E15" i="3"/>
  <c r="E8" i="3"/>
  <c r="E14" i="3"/>
  <c r="E13" i="3"/>
  <c r="E12" i="3"/>
  <c r="E9" i="3"/>
  <c r="C5" i="5" l="1"/>
  <c r="C22" i="5"/>
  <c r="C27" i="5" s="1"/>
  <c r="C23" i="5"/>
  <c r="C17" i="6"/>
  <c r="D14" i="6" s="1"/>
  <c r="C16" i="6"/>
  <c r="C11" i="5" s="1"/>
  <c r="E16" i="3"/>
  <c r="B19" i="2" s="1"/>
  <c r="B20" i="2" s="1"/>
  <c r="B31" i="2" s="1"/>
  <c r="G6" i="5"/>
  <c r="F6" i="5"/>
  <c r="E6" i="5"/>
  <c r="D6" i="5"/>
  <c r="D7" i="5" s="1"/>
  <c r="C6" i="5"/>
  <c r="C7" i="5" s="1"/>
  <c r="B29" i="6"/>
  <c r="C5" i="6"/>
  <c r="G14" i="5"/>
  <c r="G21" i="5" s="1"/>
  <c r="F14" i="5"/>
  <c r="F21" i="5" s="1"/>
  <c r="E14" i="5"/>
  <c r="E21" i="5" s="1"/>
  <c r="D7" i="4"/>
  <c r="D14" i="5"/>
  <c r="D21" i="5" s="1"/>
  <c r="C14" i="5"/>
  <c r="C21" i="5" s="1"/>
  <c r="E4" i="5"/>
  <c r="D23" i="5"/>
  <c r="D22" i="5"/>
  <c r="D5" i="5"/>
  <c r="D24" i="5"/>
  <c r="F38" i="7"/>
  <c r="E38" i="7"/>
  <c r="D38" i="7"/>
  <c r="C38" i="7"/>
  <c r="H46" i="8"/>
  <c r="G38" i="7"/>
  <c r="F7" i="1"/>
  <c r="C8" i="5" l="1"/>
  <c r="C20" i="5" s="1"/>
  <c r="F4" i="5"/>
  <c r="E23" i="5"/>
  <c r="E24" i="5"/>
  <c r="E22" i="5"/>
  <c r="E5" i="5"/>
  <c r="E7" i="5"/>
  <c r="C28" i="5"/>
  <c r="B7" i="1"/>
  <c r="B4" i="4"/>
  <c r="B32" i="2"/>
  <c r="B30" i="6"/>
  <c r="B32" i="6" s="1"/>
  <c r="B31" i="6"/>
  <c r="D27" i="5"/>
  <c r="D8" i="5"/>
  <c r="D20" i="5" s="1"/>
  <c r="D28" i="5"/>
  <c r="C7" i="6"/>
  <c r="C10" i="5" s="1"/>
  <c r="C13" i="5" s="1"/>
  <c r="C16" i="5" s="1"/>
  <c r="C8" i="6"/>
  <c r="C22" i="6" s="1"/>
  <c r="D16" i="6"/>
  <c r="D11" i="5" s="1"/>
  <c r="D17" i="6"/>
  <c r="E14" i="6" s="1"/>
  <c r="C9" i="5" l="1"/>
  <c r="C15" i="5" s="1"/>
  <c r="D9" i="5"/>
  <c r="E28" i="5"/>
  <c r="C29" i="5"/>
  <c r="C34" i="6"/>
  <c r="B33" i="2"/>
  <c r="B8" i="1"/>
  <c r="B21" i="4"/>
  <c r="B6" i="4"/>
  <c r="E16" i="6"/>
  <c r="E11" i="5" s="1"/>
  <c r="E17" i="6"/>
  <c r="F14" i="6" s="1"/>
  <c r="D4" i="4"/>
  <c r="D29" i="5"/>
  <c r="C33" i="6"/>
  <c r="E27" i="5"/>
  <c r="E8" i="5"/>
  <c r="E20" i="5" s="1"/>
  <c r="G4" i="5"/>
  <c r="F23" i="5"/>
  <c r="F22" i="5"/>
  <c r="F5" i="5"/>
  <c r="F24" i="5"/>
  <c r="F7" i="5"/>
  <c r="F28" i="5" l="1"/>
  <c r="D6" i="4"/>
  <c r="B24" i="7"/>
  <c r="G23" i="5"/>
  <c r="G22" i="5"/>
  <c r="G5" i="5"/>
  <c r="G24" i="5"/>
  <c r="G7" i="5"/>
  <c r="F16" i="6"/>
  <c r="F11" i="5" s="1"/>
  <c r="F17" i="6"/>
  <c r="G14" i="6" s="1"/>
  <c r="F27" i="5"/>
  <c r="F8" i="5"/>
  <c r="F20" i="5" s="1"/>
  <c r="B9" i="1"/>
  <c r="B20" i="4"/>
  <c r="F61" i="2"/>
  <c r="C17" i="5"/>
  <c r="C18" i="5" s="1"/>
  <c r="C19" i="5" s="1"/>
  <c r="C25" i="5" s="1"/>
  <c r="B10" i="4"/>
  <c r="E29" i="5"/>
  <c r="E9" i="5"/>
  <c r="C21" i="6" l="1"/>
  <c r="C9" i="6"/>
  <c r="C10" i="6" s="1"/>
  <c r="C9" i="4"/>
  <c r="B15" i="4"/>
  <c r="D10" i="4"/>
  <c r="C8" i="4"/>
  <c r="C5" i="4"/>
  <c r="C7" i="4"/>
  <c r="C4" i="4"/>
  <c r="G27" i="5"/>
  <c r="G8" i="5"/>
  <c r="G20" i="5" s="1"/>
  <c r="G16" i="6"/>
  <c r="G11" i="5" s="1"/>
  <c r="G17" i="6"/>
  <c r="G28" i="5"/>
  <c r="B5" i="7"/>
  <c r="F29" i="5"/>
  <c r="C6" i="4"/>
  <c r="F9" i="5"/>
  <c r="C10" i="4" l="1"/>
  <c r="B21" i="7"/>
  <c r="B7" i="7"/>
  <c r="B22" i="7"/>
  <c r="C23" i="6"/>
  <c r="C24" i="6" s="1"/>
  <c r="C11" i="6"/>
  <c r="B12" i="1"/>
  <c r="D15" i="4"/>
  <c r="B14" i="7"/>
  <c r="B16" i="4"/>
  <c r="B24" i="4" s="1"/>
  <c r="B13" i="1" s="1"/>
  <c r="G29" i="5"/>
  <c r="G9" i="5"/>
  <c r="C27" i="6" l="1"/>
  <c r="D20" i="6"/>
  <c r="C29" i="6"/>
  <c r="D5" i="6"/>
  <c r="B17" i="4"/>
  <c r="B30" i="7" s="1"/>
  <c r="D16" i="4"/>
  <c r="C13" i="4"/>
  <c r="C14" i="4"/>
  <c r="F8" i="1"/>
  <c r="C15" i="4"/>
  <c r="C16" i="4" l="1"/>
  <c r="D7" i="6"/>
  <c r="D10" i="5" s="1"/>
  <c r="D8" i="6"/>
  <c r="D22" i="6" s="1"/>
  <c r="C30" i="6"/>
  <c r="C32" i="6" s="1"/>
  <c r="C31" i="6"/>
  <c r="D26" i="6"/>
  <c r="D12" i="5" s="1"/>
  <c r="D13" i="5" l="1"/>
  <c r="D16" i="5" l="1"/>
  <c r="D33" i="6"/>
  <c r="D34" i="6"/>
  <c r="D15" i="5"/>
  <c r="D17" i="5" l="1"/>
  <c r="D18" i="5" s="1"/>
  <c r="D19" i="5" s="1"/>
  <c r="D25" i="5" s="1"/>
  <c r="D21" i="6" l="1"/>
  <c r="D9" i="6"/>
  <c r="D10" i="6" s="1"/>
  <c r="D23" i="6" l="1"/>
  <c r="D24" i="6" s="1"/>
  <c r="D11" i="6"/>
  <c r="D27" i="6" l="1"/>
  <c r="E20" i="6"/>
  <c r="D29" i="6"/>
  <c r="E5" i="6"/>
  <c r="E7" i="6" l="1"/>
  <c r="E10" i="5" s="1"/>
  <c r="E8" i="6"/>
  <c r="E22" i="6" s="1"/>
  <c r="D30" i="6"/>
  <c r="D32" i="6" s="1"/>
  <c r="D31" i="6"/>
  <c r="E26" i="6"/>
  <c r="E12" i="5" s="1"/>
  <c r="E13" i="5" l="1"/>
  <c r="E16" i="5" l="1"/>
  <c r="E33" i="6"/>
  <c r="E34" i="6"/>
  <c r="E15" i="5"/>
  <c r="E17" i="5" l="1"/>
  <c r="E18" i="5" s="1"/>
  <c r="E19" i="5" s="1"/>
  <c r="E25" i="5" s="1"/>
  <c r="E21" i="6" l="1"/>
  <c r="E9" i="6"/>
  <c r="E10" i="6" s="1"/>
  <c r="E23" i="6" l="1"/>
  <c r="E24" i="6" s="1"/>
  <c r="E11" i="6"/>
  <c r="F20" i="6" l="1"/>
  <c r="E27" i="6"/>
  <c r="E29" i="6"/>
  <c r="F5" i="6"/>
  <c r="F7" i="6" l="1"/>
  <c r="F10" i="5" s="1"/>
  <c r="F8" i="6"/>
  <c r="F22" i="6" s="1"/>
  <c r="E30" i="6"/>
  <c r="E32" i="6" s="1"/>
  <c r="E31" i="6"/>
  <c r="F26" i="6"/>
  <c r="F12" i="5" s="1"/>
  <c r="F13" i="5" l="1"/>
  <c r="F16" i="5" l="1"/>
  <c r="F33" i="6"/>
  <c r="F34" i="6"/>
  <c r="F15" i="5"/>
  <c r="F17" i="5" l="1"/>
  <c r="F18" i="5" s="1"/>
  <c r="F19" i="5" s="1"/>
  <c r="F25" i="5" s="1"/>
  <c r="F21" i="6" l="1"/>
  <c r="F9" i="6"/>
  <c r="F10" i="6" s="1"/>
  <c r="F23" i="6" l="1"/>
  <c r="F24" i="6" s="1"/>
  <c r="F11" i="6"/>
  <c r="G20" i="6" l="1"/>
  <c r="F27" i="6"/>
  <c r="F29" i="6"/>
  <c r="G5" i="6"/>
  <c r="G7" i="6" l="1"/>
  <c r="G10" i="5" s="1"/>
  <c r="G8" i="6"/>
  <c r="G22" i="6" s="1"/>
  <c r="F30" i="6"/>
  <c r="F32" i="6" s="1"/>
  <c r="F31" i="6"/>
  <c r="G26" i="6"/>
  <c r="G12" i="5" s="1"/>
  <c r="G13" i="5" l="1"/>
  <c r="G16" i="5" l="1"/>
  <c r="G33" i="6"/>
  <c r="B44" i="7" s="1"/>
  <c r="F46" i="8" s="1"/>
  <c r="G34" i="6"/>
  <c r="B45" i="7" s="1"/>
  <c r="G46" i="8" s="1"/>
  <c r="G15" i="5"/>
  <c r="G17" i="5" l="1"/>
  <c r="G18" i="5" s="1"/>
  <c r="G19" i="5" s="1"/>
  <c r="G25" i="5" s="1"/>
  <c r="G21" i="6" l="1"/>
  <c r="G9" i="6"/>
  <c r="G10" i="6" s="1"/>
  <c r="G23" i="6" l="1"/>
  <c r="G11" i="6"/>
  <c r="G24" i="6"/>
  <c r="G27" i="6" l="1"/>
  <c r="B32" i="7" s="1"/>
  <c r="B9" i="7"/>
  <c r="G29" i="6"/>
  <c r="B33" i="7"/>
  <c r="G31" i="6" l="1"/>
  <c r="G30" i="6"/>
  <c r="B8" i="7"/>
  <c r="F39" i="7" l="1"/>
  <c r="F40" i="7" s="1"/>
  <c r="G39" i="7"/>
  <c r="G40" i="7" s="1"/>
  <c r="C39" i="7"/>
  <c r="C40" i="7" s="1"/>
  <c r="D39" i="7"/>
  <c r="D40" i="7" s="1"/>
  <c r="E39" i="7"/>
  <c r="E40" i="7" s="1"/>
  <c r="B10" i="7"/>
  <c r="G32" i="6"/>
  <c r="B43" i="7" s="1"/>
  <c r="E46" i="8" s="1"/>
  <c r="B23" i="7"/>
  <c r="B17" i="7" l="1"/>
  <c r="B18" i="7" s="1"/>
  <c r="B11" i="7"/>
  <c r="B25" i="7" s="1"/>
  <c r="B26" i="7" s="1"/>
  <c r="B12" i="7" l="1"/>
  <c r="B15" i="7" s="1"/>
  <c r="B27" i="7" l="1"/>
  <c r="B31" i="7" s="1"/>
  <c r="F11" i="1" s="1"/>
  <c r="B16" i="7"/>
  <c r="F9" i="1"/>
  <c r="D46" i="8"/>
  <c r="A21" i="8"/>
  <c r="A13" i="8" l="1"/>
  <c r="F10" i="1"/>
  <c r="C46" i="8"/>
  <c r="A29" i="8"/>
  <c r="A37" i="8"/>
</calcChain>
</file>

<file path=xl/sharedStrings.xml><?xml version="1.0" encoding="utf-8"?>
<sst xmlns="http://schemas.openxmlformats.org/spreadsheetml/2006/main" count="368" uniqueCount="338">
  <si>
    <t>ADT Inc. (NYSE: ADT) - Illustrative Take-Private LBO</t>
  </si>
  <si>
    <t>Transaction overview</t>
  </si>
  <si>
    <t>Returns (active scenario)</t>
  </si>
  <si>
    <t>Offer price per share ($)</t>
  </si>
  <si>
    <t>Scenario</t>
  </si>
  <si>
    <t>Premium to current price</t>
  </si>
  <si>
    <t>Exit year</t>
  </si>
  <si>
    <t>Equity purchase price ($mm)</t>
  </si>
  <si>
    <t>Exit EV / EBITDA</t>
  </si>
  <si>
    <t>Entry enterprise value ($mm)</t>
  </si>
  <si>
    <t>Exit enterprise value ($mm)</t>
  </si>
  <si>
    <t>Entry EV / LTM Adj. EBITDA</t>
  </si>
  <si>
    <t>Sponsor MOIC (net)</t>
  </si>
  <si>
    <t>Current trading EV / LTM Adj. EBITDA</t>
  </si>
  <si>
    <t>Sponsor IRR (net)</t>
  </si>
  <si>
    <t>Total debt / LTM Adj. EBITDA</t>
  </si>
  <si>
    <t>Model checks</t>
  </si>
  <si>
    <t>Sponsor equity ($mm)</t>
  </si>
  <si>
    <t>Equity % of total sources</t>
  </si>
  <si>
    <t>LTM revenue ($mm)</t>
  </si>
  <si>
    <t>LTM Adjusted EBITDA ($mm)</t>
  </si>
  <si>
    <t>Scenario comparison</t>
  </si>
  <si>
    <t>Revenue growth</t>
  </si>
  <si>
    <t>Margin chg / yr</t>
  </si>
  <si>
    <t>Capex % rev</t>
  </si>
  <si>
    <t>Exit EV/EBITDA</t>
  </si>
  <si>
    <t>Net IRR</t>
  </si>
  <si>
    <t>Net MOIC</t>
  </si>
  <si>
    <t>Base</t>
  </si>
  <si>
    <t>Downside</t>
  </si>
  <si>
    <t>Upside</t>
  </si>
  <si>
    <t>Management case</t>
  </si>
  <si>
    <t>Drivers link to the Assumptions tab; exit multiples and returns come from the scenario data table on the Sensitivities tab, at the hold period set in Assumptions.</t>
  </si>
  <si>
    <t>Key takeaways</t>
  </si>
  <si>
    <t>4. Cash flow is thin against the debt load: EBITDA less capex and net subscriber costs covers net interest only 1.7x at the weakest point, and debt falls $1.9bn over five years (net debt/EBITDA 2.8x at exit).</t>
  </si>
  <si>
    <t>ADT Inc. (NYSE: ADT) - Illustrative Take-Private LBO Model</t>
  </si>
  <si>
    <t>All figures in $mm unless noted. Blue = input. Black = formula. Green = link to another tab. Yellow = scenario switch.</t>
  </si>
  <si>
    <t>A. LTM build (LTM Jun-2026 = FY2025 + H1 2026 - H1 2025)</t>
  </si>
  <si>
    <t>FY2025 Revenue</t>
  </si>
  <si>
    <t>Source: FY2025 10-K / Q4 2025 earnings release: total revenue $5,129mm.</t>
  </si>
  <si>
    <t>H1 2026 Revenue</t>
  </si>
  <si>
    <t>Source: Q2 2026 10-Q / earnings release (Jul 30, 2026): six months ended Jun 30, 2026.</t>
  </si>
  <si>
    <t>H1 2025 Revenue</t>
  </si>
  <si>
    <t>Source: same filing, prior-year six months.</t>
  </si>
  <si>
    <t>LTM Revenue</t>
  </si>
  <si>
    <t>FY2025 Adjusted EBITDA</t>
  </si>
  <si>
    <t>Source: FY2025 10-K MD&amp;A: Adjusted EBITDA $2,680mm.</t>
  </si>
  <si>
    <t>H1 2026 Adjusted EBITDA</t>
  </si>
  <si>
    <t>Q1 2026 $674mm + Q2 2026 $671mm (10-Q: $1,344.3mm; rounded to $mm).</t>
  </si>
  <si>
    <t>H1 2025 Adjusted EBITDA</t>
  </si>
  <si>
    <t>Q1 2025 $661mm + Q2 2025 $674mm (10-Q: $1,334.4mm; rounded to $mm).</t>
  </si>
  <si>
    <t>LTM Adjusted EBITDA</t>
  </si>
  <si>
    <t>LTM Adjusted EBITDA Margin</t>
  </si>
  <si>
    <t>B. Market data and existing capital structure</t>
  </si>
  <si>
    <t>Current Share Price ($)</t>
  </si>
  <si>
    <t>Basic Shares Outstanding (mm)</t>
  </si>
  <si>
    <t>Source: 10-Q cover (Jul 23, 2026): 675.8mm common + 54.7mm Class B = 730.6mm. Later buybacks are not captured.</t>
  </si>
  <si>
    <t>Dilutive Securities at Current Price (mm)</t>
  </si>
  <si>
    <t>Treasury method at the current share price: see Dilution tab.</t>
  </si>
  <si>
    <t>Dilutive Securities at Offer Price (mm)</t>
  </si>
  <si>
    <t>Treasury method at the offer price; unvested awards assumed to accelerate. ESTIMATE: see Dilution tab.</t>
  </si>
  <si>
    <t>Fully Diluted Shares at Offer (mm)</t>
  </si>
  <si>
    <t>Current Equity Market Cap (diluted at current price)</t>
  </si>
  <si>
    <t>Existing Gross Debt</t>
  </si>
  <si>
    <t>Source: 10-Q Note 6 (Jun 30, 2026): term loans $3,609mm + notes $3,750mm + finance leases $58mm. Excludes $416mm receivables facility and the $100mm Term A added Aug 28.</t>
  </si>
  <si>
    <t>Existing Cash</t>
  </si>
  <si>
    <t>Source: Jun 30, 2026 balance sheet: $4mm.</t>
  </si>
  <si>
    <t>Existing Net Debt</t>
  </si>
  <si>
    <t>Current Enterprise Value</t>
  </si>
  <si>
    <t>Current EV / LTM Adj. EBITDA</t>
  </si>
  <si>
    <t>C. Transaction assumptions</t>
  </si>
  <si>
    <t>Takeover Premium to Current Price</t>
  </si>
  <si>
    <t>Offer Price / Share ($)</t>
  </si>
  <si>
    <t>Equity Purchase Price</t>
  </si>
  <si>
    <t>Entry Enterprise Value</t>
  </si>
  <si>
    <t>Advisory / Legal / Other Fees (% of Entry EV)</t>
  </si>
  <si>
    <t>Illustrative.</t>
  </si>
  <si>
    <t>Financing Fees + OID (% of New Debt)</t>
  </si>
  <si>
    <t>Illustrative. Capitalized and amortized (tax-deductible, non-cash).</t>
  </si>
  <si>
    <t>Financing Fee Amortization Period (years)</t>
  </si>
  <si>
    <t>Illustrative; approximates the weighted debt tenor.</t>
  </si>
  <si>
    <t>Debt Breakage / Call Premiums (% of Existing Gross Debt)</t>
  </si>
  <si>
    <t>~$37mm: 1% on ~$3.75bn of notes (101% change-of-control put per 10-K); term loans prepay at par. Illustrative.</t>
  </si>
  <si>
    <t>Minimum Cash (funded at close, held throughout)</t>
  </si>
  <si>
    <t>Illustrative. Revolver is assumed undrawn and is not modeled; see cash check on the Debt Schedule.</t>
  </si>
  <si>
    <t>D. Financing assumptions</t>
  </si>
  <si>
    <t>Term Loan B (x LTM Adj. EBITDA)</t>
  </si>
  <si>
    <t>Senior Notes (x LTM Adj. EBITDA)</t>
  </si>
  <si>
    <t>Total Leverage (x LTM Adj. EBITDA)</t>
  </si>
  <si>
    <t>SOFR</t>
  </si>
  <si>
    <t>Fed funds target range 3.50%-3.75% as of mid-2026, so SOFR is ~3.6%. Update for current curve.</t>
  </si>
  <si>
    <t>SOFR Change per Year</t>
  </si>
  <si>
    <t>0 = flat curve. Use e.g. -0.25% for a gently falling curve.</t>
  </si>
  <si>
    <t>Term Loan B Spread</t>
  </si>
  <si>
    <t>SOFR + 350bps. Illustrative.</t>
  </si>
  <si>
    <t>Senior Notes Rate (fixed, bullet)</t>
  </si>
  <si>
    <t>Illustrative; ADT's current average cost of debt is ~4.3% (company-reported), so the LBO structure reprices debt materially higher.</t>
  </si>
  <si>
    <t>TLB Mandatory Amortization (% of original principal / yr)</t>
  </si>
  <si>
    <t>Cash Sweep (% of FCF after mandatory amortization)</t>
  </si>
  <si>
    <t>Cash flow after mandatory amortization is swept to the TLB; the unswept remainder accumulates as cash and is credited at exit.</t>
  </si>
  <si>
    <t>Interest Rate Earned on Cash</t>
  </si>
  <si>
    <t>Applied to beginning-of-year cash.</t>
  </si>
  <si>
    <t>Receivables Facility Balance (stays in place)</t>
  </si>
  <si>
    <t>Source: 10-Q Note 6 ($416mm at Jun 30, 2026). Excluded from EV (ADT's definition) but its interest is charged. Assumes it survives a change of control.</t>
  </si>
  <si>
    <t>Receivables Facility Spread over SOFR</t>
  </si>
  <si>
    <t>Source: 10-Q Note 6: SOFR + 0.95% (and lender cost of funds + 0.85%). Held flat.</t>
  </si>
  <si>
    <t>E. Operating scenario</t>
  </si>
  <si>
    <t>Active Scenario (1-4)</t>
  </si>
  <si>
    <t>1 = Base (2026 guidance), 2 = Downside, 3 = Upside, 4 = Management case (3% growth, +20bp/yr, exit at the entry multiple).</t>
  </si>
  <si>
    <t>Scenario in Use</t>
  </si>
  <si>
    <t>Equals the switch above; the scenario table on the Sensitivities tab drives this cell through its input cell.</t>
  </si>
  <si>
    <t>Scenario drivers</t>
  </si>
  <si>
    <t>Live</t>
  </si>
  <si>
    <t>Revenue Growth (%/yr)</t>
  </si>
  <si>
    <t>Base = ADT 2026 guidance (~2%); H1 2026 grew 1.4%. Management case 3%; Upside 5% (ADT multi-year framework). Q2 recurring monthly revenue was ~1% lower YoY.</t>
  </si>
  <si>
    <t>EBITDA Margin Change (per yr)</t>
  </si>
  <si>
    <t>LTM margin 52.1%; Q2 2026 margin 51.1% vs 52.4% a year earlier. Base holds margin flat; Management case +20bp/yr.</t>
  </si>
  <si>
    <t>All-in Capex (% of Revenue)</t>
  </si>
  <si>
    <t>FY2025: dealer accounts + subscriber systems + PP&amp;E = $1,168mm (22.8% of revenue); ~20.3% LTM Jun-26. See Calibration tab.</t>
  </si>
  <si>
    <t>Exit Multiple vs. CURRENT Trading Multiple (turns)</t>
  </si>
  <si>
    <t>Base 0.0x = exit at today's unaffected multiple (the 35% premium is not recovered). Management case = exit at the entry multiple.</t>
  </si>
  <si>
    <t>F. Other operating assumptions</t>
  </si>
  <si>
    <t>Net Subscriber Acquisition Cost (% of Revenue)</t>
  </si>
  <si>
    <t>Deferred SAC cash cost less deferred SAC revenue (operating cash flow, outside Adj. EBITDA). FY2025: $381mm - $225mm = $156mm (3.0%); LTM 3.4%.</t>
  </si>
  <si>
    <t>D&amp;A (% of Capex)</t>
  </si>
  <si>
    <t>Steady-state simplification; ADT's FY2025 D&amp;A was ~27% of revenue, so this is conservative on taxes.</t>
  </si>
  <si>
    <t>Increase in NWC (% of Incremental Revenue)</t>
  </si>
  <si>
    <t>Tax Rate (book = cash)</t>
  </si>
  <si>
    <t>Conservative: ADT's cash taxes run below book (FY2025 deferred taxes $142mm of $233mm expense). No NOLs modeled.</t>
  </si>
  <si>
    <t>Sec. 163(j) Interest Cap (% of EBITDA)</t>
  </si>
  <si>
    <t>Net interest above this share of EBITDA is non-deductible; disallowed amounts are not carried forward (conservative). Confirm with tax counsel.</t>
  </si>
  <si>
    <t>Management Option Pool (% of equity value created)</t>
  </si>
  <si>
    <t>Illustrative. Strike at entry equity value. Management rollover is still not modeled.</t>
  </si>
  <si>
    <t>G. Exit</t>
  </si>
  <si>
    <t>Hold Period (years, 3-5)</t>
  </si>
  <si>
    <t>Exit values index off this input (3-5 years).</t>
  </si>
  <si>
    <t>Exit EV / EBITDA Multiple</t>
  </si>
  <si>
    <t>Dilution: treasury method at the offer price and at the current price (mm shares)</t>
  </si>
  <si>
    <t>Counts are from the 10-K equity note (Dec 31, 2025) plus 2026 grants disclosed in the 10-Q. ESTIMATE: the 10-Q has no full award roll-forward.</t>
  </si>
  <si>
    <t>Offer price ($)</t>
  </si>
  <si>
    <t>Current share price ($)</t>
  </si>
  <si>
    <t>Award</t>
  </si>
  <si>
    <t>Number (mm)</t>
  </si>
  <si>
    <t>Strike ($)</t>
  </si>
  <si>
    <t>% vesting</t>
  </si>
  <si>
    <t>Net shares: offer</t>
  </si>
  <si>
    <t>Net shares: current</t>
  </si>
  <si>
    <t>2018 Plan options outstanding at Dec 31 2025 (10-K, WAEP $6.97)</t>
  </si>
  <si>
    <t>2026 executive option grant (10-Q: ~9mm at $6.74)</t>
  </si>
  <si>
    <t>Top-up options, service tranche (10-K, $13.30)</t>
  </si>
  <si>
    <t>Top-up options, performance tranche (10-K, $13.30)</t>
  </si>
  <si>
    <t>Unvested RSUs incl. DEUs at Dec 31 2025 (10-K)</t>
  </si>
  <si>
    <t>2026 annual RSU grant (10-Q: ~4mm)</t>
  </si>
  <si>
    <t>Origin AI retention awards (10-Q: ~8mm; 5mm performance-based)</t>
  </si>
  <si>
    <t>Less: est. H1-26 RSU vesting already in basic count (ESTIMATE)</t>
  </si>
  <si>
    <t>Total dilutive securities (mm)</t>
  </si>
  <si>
    <t>Method: net new shares = number x % vesting x (1 - strike / price) if the award is in the money; RSUs have no strike, so all count.</t>
  </si>
  <si>
    <t>Assumes all unvested RSUs and service options accelerate on a change of control and that Origin AI performance awards vest in full (conservative for a buyer). Change the vesting % to test.</t>
  </si>
  <si>
    <t>Cross-check: ADT's Q2 2026 diluted EPS share count implies only ~4mm of dilution, but that uses unrecognized compensation as assumed proceeds and market prices; a buyout accelerates unvested awards.</t>
  </si>
  <si>
    <t>H1 2026 RSU vesting is already inside the 730.6mm basic count; the last row is an ESTIMATE (about half of FY2025's 3.6mm vested) to avoid double counting. Replace with the Q3 10-Q roll-forward when available.</t>
  </si>
  <si>
    <t>Sources &amp; Uses ($mm)</t>
  </si>
  <si>
    <t>Uses of Funds</t>
  </si>
  <si>
    <t>$mm</t>
  </si>
  <si>
    <t>% of Total</t>
  </si>
  <si>
    <t>x LTM EBITDA</t>
  </si>
  <si>
    <t>Refinance Existing Net Debt</t>
  </si>
  <si>
    <t>Advisory &amp; Other Transaction Fees</t>
  </si>
  <si>
    <t>Financing Fees &amp; OID</t>
  </si>
  <si>
    <t>Debt Breakage / Call Premiums</t>
  </si>
  <si>
    <t>Minimum Cash to Balance Sheet</t>
  </si>
  <si>
    <t>Total Uses</t>
  </si>
  <si>
    <t>Sources of Funds</t>
  </si>
  <si>
    <t>Term Loan B</t>
  </si>
  <si>
    <t>Senior Notes</t>
  </si>
  <si>
    <t>Sponsor Equity (plug)</t>
  </si>
  <si>
    <t>Total Sources</t>
  </si>
  <si>
    <t>Check: Sources - Uses</t>
  </si>
  <si>
    <t>Entry metrics</t>
  </si>
  <si>
    <t>Entry EV / (LTM EBITDA - capex - net SAC)</t>
  </si>
  <si>
    <t>Total Debt / LTM Adj. EBITDA</t>
  </si>
  <si>
    <t>Net Debt at Close / LTM Adj. EBITDA</t>
  </si>
  <si>
    <t>Equity % of Total Sources</t>
  </si>
  <si>
    <t>EBITDA is ADT's Adjusted EBITDA, which excludes capitalized subscriber costs; the second multiple (row 21) shows entry value on a cash-earnings basis.</t>
  </si>
  <si>
    <t>Operating Model ($mm)</t>
  </si>
  <si>
    <t>Revenue</t>
  </si>
  <si>
    <t xml:space="preserve">  Revenue Growth %</t>
  </si>
  <si>
    <t xml:space="preserve">  EBITDA Margin %</t>
  </si>
  <si>
    <t>EBITDA</t>
  </si>
  <si>
    <t>Less: D&amp;A</t>
  </si>
  <si>
    <t>EBIT</t>
  </si>
  <si>
    <t>Less: Interest Expense - Term Loan B</t>
  </si>
  <si>
    <t>Less: Interest Expense - Senior Notes</t>
  </si>
  <si>
    <t>Plus: Interest Income on Cash</t>
  </si>
  <si>
    <t>Net Interest Expense (incl. receivables facility)</t>
  </si>
  <si>
    <t>Less: Amortization of Financing Fees</t>
  </si>
  <si>
    <t>EBT (Pre-Tax Income)</t>
  </si>
  <si>
    <t>Plus: Interest Disallowed under Sec. 163(j)</t>
  </si>
  <si>
    <t>Taxable Income</t>
  </si>
  <si>
    <t>Less: Taxes</t>
  </si>
  <si>
    <t>Net Income</t>
  </si>
  <si>
    <t>(+) D&amp;A</t>
  </si>
  <si>
    <t>(+) Financing Fee Amortization (non-cash)</t>
  </si>
  <si>
    <t>(-) Capex (all-in)</t>
  </si>
  <si>
    <t>(-) Net Subscriber Acquisition Costs</t>
  </si>
  <si>
    <t>(-) Increase in NWC</t>
  </si>
  <si>
    <t>Free Cash Flow (Pre-Debt Paydown)</t>
  </si>
  <si>
    <t>Memo: Capex % of Revenue</t>
  </si>
  <si>
    <t>Memo: EBITDA - Capex - Net SAC</t>
  </si>
  <si>
    <t>Memo: Cash Conversion (% of EBITDA)</t>
  </si>
  <si>
    <t>Memo: Receivables Facility Interest (included in Net Interest)</t>
  </si>
  <si>
    <t>Debt Schedule ($mm)</t>
  </si>
  <si>
    <t>Interest is calculated on BEGINNING-of-period balances (no circular reference). Cash not swept accumulates and is credited at exit.</t>
  </si>
  <si>
    <t>Beginning Balance</t>
  </si>
  <si>
    <t>Interest Rate (SOFR + spread)</t>
  </si>
  <si>
    <t>Interest Expense</t>
  </si>
  <si>
    <t>Mandatory Amortization</t>
  </si>
  <si>
    <t>FCF Available for Sweep</t>
  </si>
  <si>
    <t>Cash Sweep</t>
  </si>
  <si>
    <t>Ending Balance</t>
  </si>
  <si>
    <t>Interest Rate</t>
  </si>
  <si>
    <t>Cash</t>
  </si>
  <si>
    <t>Plus: Free Cash Flow (Pre-Debt Paydown)</t>
  </si>
  <si>
    <t>Less: Mandatory Amortization</t>
  </si>
  <si>
    <t>Less: Cash Sweep</t>
  </si>
  <si>
    <t>Interest Rate on Cash</t>
  </si>
  <si>
    <t>Interest Income</t>
  </si>
  <si>
    <t>Check: Ending Cash &gt;= Minimum Cash</t>
  </si>
  <si>
    <t>Total Debt (Ending)</t>
  </si>
  <si>
    <t>Net Debt (Ending)</t>
  </si>
  <si>
    <t>Total Debt / EBITDA</t>
  </si>
  <si>
    <t>Net Debt / EBITDA</t>
  </si>
  <si>
    <t>EBITDA / Net Interest</t>
  </si>
  <si>
    <t>(EBITDA - Capex - Net SAC) / Net Interest</t>
  </si>
  <si>
    <t>Receivables Facility (stays in place; excluded from net debt per ADT)</t>
  </si>
  <si>
    <t>Balance</t>
  </si>
  <si>
    <t>Receivables Facility Interest Rate (SOFR + spread)</t>
  </si>
  <si>
    <t>Receivables Facility Interest Expense</t>
  </si>
  <si>
    <t>Returns Analysis ($mm)</t>
  </si>
  <si>
    <t>Exit Calculation</t>
  </si>
  <si>
    <t>Exit Year (hold period)</t>
  </si>
  <si>
    <t>Exit-Year EBITDA</t>
  </si>
  <si>
    <t>Exit Enterprise Value</t>
  </si>
  <si>
    <t>Less: Debt at Exit</t>
  </si>
  <si>
    <t>Plus: Cash at Exit</t>
  </si>
  <si>
    <t>Exit Equity Value (100%)</t>
  </si>
  <si>
    <t>Less: Management Option Pool</t>
  </si>
  <si>
    <t>Sponsor Exit Proceeds</t>
  </si>
  <si>
    <t>Sponsor Returns</t>
  </si>
  <si>
    <t>Sponsor Equity Invested (Year 0)</t>
  </si>
  <si>
    <t>MOIC (net of option pool)</t>
  </si>
  <si>
    <t>IRR (net of option pool)</t>
  </si>
  <si>
    <t>Gross MOIC (pre option pool)</t>
  </si>
  <si>
    <t>Gross IRR (pre option pool)</t>
  </si>
  <si>
    <t>Value Creation Bridge (sponsor, net of option pool)</t>
  </si>
  <si>
    <t>EBITDA Growth (at entry multiple)</t>
  </si>
  <si>
    <t>Multiple Change (exit vs. entry multiple)</t>
  </si>
  <si>
    <t>Net Debt Reduction (paydown + cash build)</t>
  </si>
  <si>
    <t>Less: Transaction, Financing &amp; Breakage Costs</t>
  </si>
  <si>
    <t>Total Sponsor Value Created</t>
  </si>
  <si>
    <t>Check: Bridge vs. Actual (should be 0)</t>
  </si>
  <si>
    <t>Sources = Uses</t>
  </si>
  <si>
    <t>Value bridge foots</t>
  </si>
  <si>
    <t>Minimum cash maintained in every year</t>
  </si>
  <si>
    <t>Term Loan B balance never negative</t>
  </si>
  <si>
    <t>Sensitivity input cells are blank</t>
  </si>
  <si>
    <t>Sensitivity: exit multiple (live; debt paydown is unaffected by exit multiple)</t>
  </si>
  <si>
    <t>Change vs. base exit multiple (turns)</t>
  </si>
  <si>
    <t>Sponsor MOIC (net of option pool)</t>
  </si>
  <si>
    <t>Sponsor IRR (net of option pool)</t>
  </si>
  <si>
    <t>Credit statistics over the hold period</t>
  </si>
  <si>
    <t>Net Debt / EBITDA at Exit</t>
  </si>
  <si>
    <t>Minimum EBITDA / Net Interest</t>
  </si>
  <si>
    <t>Minimum (EBITDA - Capex - Net SAC) / Net Interest</t>
  </si>
  <si>
    <t>Excel data tables (Data &gt; What-If Analysis &gt; Data Table): each cell re-runs the full model for the active scenario and hold period. Press F9 if calculation is set to 'automatic except tables'.</t>
  </si>
  <si>
    <t>Data table input cells (leave blank: the tables write to these cells)</t>
  </si>
  <si>
    <t>When a cell here is blank, the model uses the Assumptions tab.</t>
  </si>
  <si>
    <t>Exit multiple change vs. current multiple (turns)</t>
  </si>
  <si>
    <t>All-in capex % of revenue</t>
  </si>
  <si>
    <t>Total leverage (x LTM Adj. EBITDA)</t>
  </si>
  <si>
    <t>Takeover premium</t>
  </si>
  <si>
    <t>Scenario (1-4)</t>
  </si>
  <si>
    <t>IRR: revenue growth vs. exit multiple (turns vs. CURRENT trading multiple)</t>
  </si>
  <si>
    <t>MOIC: revenue growth vs. exit multiple</t>
  </si>
  <si>
    <t>IRR: all-in capex % of revenue vs. total leverage (Senior Notes fixed at 1.0x; rest is TLB)</t>
  </si>
  <si>
    <t>IRR: takeover premium vs. exit multiple change</t>
  </si>
  <si>
    <t>Scenario summary (one-variable data table on the scenario switch)</t>
  </si>
  <si>
    <t>#</t>
  </si>
  <si>
    <t>IRR</t>
  </si>
  <si>
    <t>MOIC</t>
  </si>
  <si>
    <t>Exit Net Debt/EBITDA</t>
  </si>
  <si>
    <t>Min EBITDA/Net Int.</t>
  </si>
  <si>
    <t>Min (EBITDA-Capex-SAC)/Int.</t>
  </si>
  <si>
    <t>Active scenario (table header row)</t>
  </si>
  <si>
    <t>Calibration: does the model's cash-flow method reproduce ADT's reported free cash flow? ($mm)</t>
  </si>
  <si>
    <t>Inputs from ADT's cash flow statements (FY2025 10-K; Q2 2026 10-Q). LTM = FY2025 + H1 2026 - H1 2025.</t>
  </si>
  <si>
    <t>FY2025</t>
  </si>
  <si>
    <t>H1 2026</t>
  </si>
  <si>
    <t>H1 2025</t>
  </si>
  <si>
    <t>LTM Jun-26</t>
  </si>
  <si>
    <t>Adjusted EBITDA</t>
  </si>
  <si>
    <t>Dealer-generated accounts &amp; bulk account purchases</t>
  </si>
  <si>
    <t>Subscriber system asset expenditures</t>
  </si>
  <si>
    <t>Purchases of property &amp; equipment</t>
  </si>
  <si>
    <t>Total capex (all-in)</t>
  </si>
  <si>
    <t>Deferred subscriber acquisition costs (cash outflow)</t>
  </si>
  <si>
    <t>Deferred subscriber acquisition revenue (cash inflow)</t>
  </si>
  <si>
    <t>Net subscriber acquisition cost</t>
  </si>
  <si>
    <t>Interest expense, net</t>
  </si>
  <si>
    <t>Interest-rate swap settlements outside operating cash flow</t>
  </si>
  <si>
    <t>Depreciation &amp; intangible amortization</t>
  </si>
  <si>
    <t>REPORTED Adjusted FCF (incl. swaps)</t>
  </si>
  <si>
    <t>Capex % of revenue</t>
  </si>
  <si>
    <t>Model base case uses 22.0%.</t>
  </si>
  <si>
    <t>Net SAC % of revenue</t>
  </si>
  <si>
    <t>Model base case uses 3.5%.</t>
  </si>
  <si>
    <t>Model cash-flow method applied to ADT's own existing capital structure</t>
  </si>
  <si>
    <t>Tax rate (from Assumptions)</t>
  </si>
  <si>
    <t>Pre-tax income proxy (EBITDA - D&amp;A - net interest)</t>
  </si>
  <si>
    <t>Less: Taxes at model rate</t>
  </si>
  <si>
    <t>Model FCF = EBITDA - capex - net SAC - net interest + swaps - taxes</t>
  </si>
  <si>
    <t>Model FCF vs. reported Adj. FCF ($)</t>
  </si>
  <si>
    <t>Negative = model is more conservative than reported.</t>
  </si>
  <si>
    <t>Model FCF vs. reported Adj. FCF (%)</t>
  </si>
  <si>
    <t>Reading this: the method lands ~14% below reported FY2025 Adjusted FCF and ~27% below LTM, so the model understates ADT's cash generation. Main drivers:</t>
  </si>
  <si>
    <t>(2) Working-capital and other operating items are not modeled beyond the NWC % in Assumptions.</t>
  </si>
  <si>
    <t>The LTM gap is wider because H1 2026 reported FCF benefited from lower cash taxes and working-capital timing (per ADT's Q2 release).</t>
  </si>
  <si>
    <t>Capex is all-in (dealer accounts + subscriber systems + PP&amp;E): roughly $1.0-1.2bn a year, or 20-23% of revenue.</t>
  </si>
  <si>
    <t>35%: in line with typical take-private premiums of 25-40%. Sensitized on the Sensitivities tab.</t>
  </si>
  <si>
    <t>Source: NYSE close Sep 8, 2026 per S&amp;P Capital IQ NetAdvantage ($7.22).</t>
  </si>
  <si>
    <t>1. Entry: a 35% premium ($9.75/share) is 5.5x LTM Adj. EBITDA against 4.8x where ADT trades. At 4.0x leverage the sponsor writes a $4.6bn equity check (30% of sources).</t>
  </si>
  <si>
    <t>2. Base case (2026 guidance: ~2% growth, flat margin, exit at the unaffected multiple): 4.7% net IRR / 1.26x. A 35% take-private does not earn a typical LBO return on guidance-level fundamentals.</t>
  </si>
  <si>
    <t>3. The exit multiple is the largest swing factor: if the premium were retained at exit the same operating case returns 11.2%, and the management case (3% growth, +20bp/yr, entry-multiple exit) returns 14.7%.</t>
  </si>
  <si>
    <t>5. Downside (0% growth, margin erosion, higher capex, lower exit multiple) returns -13.5% / 0.48x, a loss of more than half the equity: a stress case, not a forecast.</t>
  </si>
  <si>
    <t>(1) Taxes: the model charges full book tax; ADT's cash taxes are lower (deferred taxes were $142mm of $233mm FY2025 expense). At a 10% cash tax rate the base-case IRR would be ~7.1%.</t>
  </si>
  <si>
    <t>Hypothetical transaction for illustration only.</t>
  </si>
  <si>
    <t>Illustrative analysis built from ADT's 10-K, 10-Q and 8-K filings and market data as of Sep 8, 2026.</t>
  </si>
  <si>
    <t>Sensitivities: sponsor IRR / MOIC (net of option pool)</t>
  </si>
  <si>
    <t>Senior Notes (bullet, no amortization)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</si>
</sst>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;\(#,##0\);&quot;-&quot;"/>
    <numFmt numFmtId="165" formatCode="0.0%;\(0.0%\);&quot;-&quot;"/>
    <numFmt numFmtId="166" formatCode="\$0.00"/>
    <numFmt numFmtId="167" formatCode="#,##0.0;\(#,##0.0\);&quot;-&quot;"/>
    <numFmt numFmtId="168" formatCode="0.00&quot;x&quot;"/>
    <numFmt numFmtId="169" formatCode="0.00%;\(0.00%\);&quot;-&quot;"/>
    <numFmt numFmtId="170" formatCode="0.0&quot;x&quot;"/>
    <numFmt numFmtId="171" formatCode="0.0&quot;x&quot;;\(0.0&quot;x&quot;\);&quot;-&quot;"/>
    <numFmt numFmtId="172" formatCode="&quot;Year 0 (LTM)&quot;"/>
    <numFmt numFmtId="173" formatCode="&quot;Year &quot;0"/>
    <numFmt numFmtId="174" formatCode="&quot;Revenue growth  \  Exit multiple change&quot;;&quot;Revenue growth  \  Exit multiple change&quot;;&quot;Revenue growth  \  Exit multiple change&quot;"/>
    <numFmt numFmtId="175" formatCode="\+0.0&quot;x&quot;;\-0.0&quot;x&quot;;&quot;0.0x&quot;"/>
    <numFmt numFmtId="176" formatCode="0.0%"/>
    <numFmt numFmtId="177" formatCode="&quot;Capex % revenue  \  Total debt (x EBITDA)&quot;;&quot;Capex % revenue  \  Total debt (x EBITDA)&quot;;&quot;Capex % revenue  \  Total debt (x EBITDA)&quot;"/>
    <numFmt numFmtId="178" formatCode="&quot;Premium  \  Exit multiple change&quot;;&quot;Premium  \  Exit multiple change&quot;;&quot;Premium  \  Exit multiple change&quot;"/>
    <numFmt numFmtId="179" formatCode="#,##0.000;\(#,##0.000\);&quot;-&quot;"/>
    <numFmt numFmtId="180" formatCode="#,##0.00;\(#,##0.00\);&quot;-&quot;"/>
    <numFmt numFmtId="181" formatCode="0.0%;\(0.0%\);0.0%"/>
    <numFmt numFmtId="182" formatCode="0.00%;\(0.00%\);0.00%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4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6"/>
      <color rgb="FF1F38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0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66" fontId="5" fillId="0" borderId="0" xfId="0" applyNumberFormat="1" applyFont="1"/>
    <xf numFmtId="0" fontId="5" fillId="0" borderId="0" xfId="0" applyFont="1" applyAlignment="1">
      <alignment horizontal="right"/>
    </xf>
    <xf numFmtId="165" fontId="5" fillId="0" borderId="0" xfId="0" applyNumberFormat="1" applyFont="1"/>
    <xf numFmtId="1" fontId="5" fillId="0" borderId="0" xfId="0" applyNumberFormat="1" applyFont="1" applyAlignment="1">
      <alignment horizontal="right"/>
    </xf>
    <xf numFmtId="164" fontId="5" fillId="0" borderId="0" xfId="0" applyNumberFormat="1" applyFont="1"/>
    <xf numFmtId="168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8" fontId="5" fillId="0" borderId="0" xfId="0" applyNumberFormat="1" applyFont="1"/>
    <xf numFmtId="165" fontId="1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right"/>
    </xf>
    <xf numFmtId="0" fontId="1" fillId="0" borderId="0" xfId="0" applyFont="1"/>
    <xf numFmtId="181" fontId="5" fillId="0" borderId="0" xfId="0" applyNumberFormat="1" applyFont="1"/>
    <xf numFmtId="182" fontId="5" fillId="0" borderId="0" xfId="0" applyNumberFormat="1" applyFont="1"/>
    <xf numFmtId="165" fontId="1" fillId="0" borderId="0" xfId="0" applyNumberFormat="1" applyFont="1"/>
    <xf numFmtId="0" fontId="2" fillId="0" borderId="0" xfId="0" applyFont="1"/>
    <xf numFmtId="164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7" fontId="7" fillId="0" borderId="0" xfId="0" applyNumberFormat="1" applyFont="1"/>
    <xf numFmtId="167" fontId="5" fillId="0" borderId="0" xfId="0" applyNumberFormat="1" applyFont="1"/>
    <xf numFmtId="165" fontId="6" fillId="0" borderId="0" xfId="0" applyNumberFormat="1" applyFont="1"/>
    <xf numFmtId="169" fontId="6" fillId="0" borderId="0" xfId="0" applyNumberFormat="1" applyFont="1"/>
    <xf numFmtId="1" fontId="6" fillId="0" borderId="0" xfId="0" applyNumberFormat="1" applyFont="1"/>
    <xf numFmtId="170" fontId="6" fillId="0" borderId="0" xfId="0" applyNumberFormat="1" applyFont="1"/>
    <xf numFmtId="170" fontId="5" fillId="0" borderId="0" xfId="0" applyNumberFormat="1" applyFont="1"/>
    <xf numFmtId="1" fontId="8" fillId="3" borderId="0" xfId="0" applyNumberFormat="1" applyFont="1" applyFill="1"/>
    <xf numFmtId="1" fontId="7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165" fontId="7" fillId="0" borderId="0" xfId="0" applyNumberFormat="1" applyFont="1"/>
    <xf numFmtId="169" fontId="5" fillId="0" borderId="0" xfId="0" applyNumberFormat="1" applyFont="1"/>
    <xf numFmtId="171" fontId="7" fillId="0" borderId="0" xfId="0" applyNumberFormat="1" applyFont="1"/>
    <xf numFmtId="171" fontId="6" fillId="0" borderId="0" xfId="0" applyNumberFormat="1" applyFont="1"/>
    <xf numFmtId="171" fontId="5" fillId="0" borderId="0" xfId="0" applyNumberFormat="1" applyFont="1"/>
    <xf numFmtId="166" fontId="7" fillId="0" borderId="0" xfId="0" applyNumberFormat="1" applyFont="1"/>
    <xf numFmtId="179" fontId="6" fillId="0" borderId="0" xfId="0" applyNumberFormat="1" applyFont="1"/>
    <xf numFmtId="180" fontId="5" fillId="0" borderId="0" xfId="0" applyNumberFormat="1" applyFont="1"/>
    <xf numFmtId="180" fontId="1" fillId="0" borderId="0" xfId="0" applyNumberFormat="1" applyFont="1"/>
    <xf numFmtId="164" fontId="7" fillId="0" borderId="0" xfId="0" applyNumberFormat="1" applyFont="1"/>
    <xf numFmtId="168" fontId="7" fillId="0" borderId="0" xfId="0" applyNumberFormat="1" applyFont="1"/>
    <xf numFmtId="164" fontId="1" fillId="0" borderId="0" xfId="0" applyNumberFormat="1" applyFont="1"/>
    <xf numFmtId="168" fontId="9" fillId="0" borderId="0" xfId="0" applyNumberFormat="1" applyFont="1"/>
    <xf numFmtId="172" fontId="4" fillId="2" borderId="0" xfId="0" applyNumberFormat="1" applyFont="1" applyFill="1" applyAlignment="1">
      <alignment horizontal="right"/>
    </xf>
    <xf numFmtId="173" fontId="4" fillId="2" borderId="0" xfId="0" applyNumberFormat="1" applyFont="1" applyFill="1" applyAlignment="1">
      <alignment horizontal="right"/>
    </xf>
    <xf numFmtId="169" fontId="7" fillId="0" borderId="0" xfId="0" applyNumberFormat="1" applyFont="1"/>
    <xf numFmtId="0" fontId="7" fillId="0" borderId="0" xfId="0" applyFont="1" applyAlignment="1">
      <alignment horizontal="right"/>
    </xf>
    <xf numFmtId="168" fontId="1" fillId="0" borderId="0" xfId="0" applyNumberFormat="1" applyFont="1"/>
    <xf numFmtId="0" fontId="7" fillId="0" borderId="0" xfId="0" applyFont="1"/>
    <xf numFmtId="165" fontId="6" fillId="3" borderId="1" xfId="0" applyNumberFormat="1" applyFont="1" applyFill="1" applyBorder="1"/>
    <xf numFmtId="170" fontId="6" fillId="3" borderId="1" xfId="0" applyNumberFormat="1" applyFont="1" applyFill="1" applyBorder="1"/>
    <xf numFmtId="1" fontId="6" fillId="3" borderId="1" xfId="0" applyNumberFormat="1" applyFont="1" applyFill="1" applyBorder="1"/>
    <xf numFmtId="174" fontId="9" fillId="4" borderId="0" xfId="0" applyNumberFormat="1" applyFont="1" applyFill="1"/>
    <xf numFmtId="175" fontId="8" fillId="4" borderId="0" xfId="0" applyNumberFormat="1" applyFont="1" applyFill="1"/>
    <xf numFmtId="176" fontId="8" fillId="0" borderId="0" xfId="0" applyNumberFormat="1" applyFont="1" applyAlignment="1">
      <alignment horizontal="left"/>
    </xf>
    <xf numFmtId="177" fontId="9" fillId="4" borderId="0" xfId="0" applyNumberFormat="1" applyFont="1" applyFill="1"/>
    <xf numFmtId="168" fontId="8" fillId="4" borderId="0" xfId="0" applyNumberFormat="1" applyFont="1" applyFill="1"/>
    <xf numFmtId="178" fontId="9" fillId="4" borderId="0" xfId="0" applyNumberFormat="1" applyFont="1" applyFill="1"/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right" vertical="center" wrapTex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Sponsor net IRR by scenario</a:t>
            </a:r>
          </a:p>
        </c:rich>
      </c:tx>
      <c:layout>
        <c:manualLayout>
          <c:xMode val="edge"/>
          <c:yMode val="edge"/>
          <c:x val="0.30537565359477126"/>
          <c:y val="2.8222222222222221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Summary!$F$18</c:f>
              <c:strCache>
                <c:ptCount val="1"/>
                <c:pt idx="0">
                  <c:v>Net IRR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Summary!$A$19:$A$22</c:f>
              <c:strCache>
                <c:ptCount val="4"/>
                <c:pt idx="0">
                  <c:v>Base</c:v>
                </c:pt>
                <c:pt idx="1">
                  <c:v>Downside</c:v>
                </c:pt>
                <c:pt idx="2">
                  <c:v>Upside</c:v>
                </c:pt>
                <c:pt idx="3">
                  <c:v>Management case</c:v>
                </c:pt>
              </c:strCache>
            </c:strRef>
          </c:cat>
          <c:val>
            <c:numRef>
              <c:f>Summary!$F$19:$F$22</c:f>
              <c:numCache>
                <c:formatCode>0.0%;\(0.0%\);"-"</c:formatCode>
                <c:ptCount val="4"/>
                <c:pt idx="0">
                  <c:v>4.7199619474759258E-2</c:v>
                </c:pt>
                <c:pt idx="1">
                  <c:v>-0.13531202613284898</c:v>
                </c:pt>
                <c:pt idx="2">
                  <c:v>0.22464197375686368</c:v>
                </c:pt>
                <c:pt idx="3">
                  <c:v>0.14744138932794559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D-0249-A89B-DA9AD5B16A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61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8"/>
  <sheetViews>
    <sheetView showGridLines="0" tabSelected="1" workbookViewId="0">
      <selection activeCell="F41" sqref="F41"/>
    </sheetView>
  </sheetViews>
  <sheetFormatPr baseColWidth="10" defaultColWidth="8.83203125" defaultRowHeight="15" x14ac:dyDescent="0.2"/>
  <cols>
    <col min="1" max="1" width="38" customWidth="1"/>
    <col min="2" max="7" width="15" customWidth="1"/>
  </cols>
  <sheetData>
    <row r="1" spans="1:7" ht="20" x14ac:dyDescent="0.2">
      <c r="A1" s="1" t="s">
        <v>0</v>
      </c>
    </row>
    <row r="2" spans="1:7" x14ac:dyDescent="0.2">
      <c r="A2" s="2" t="s">
        <v>335</v>
      </c>
    </row>
    <row r="4" spans="1:7" x14ac:dyDescent="0.2">
      <c r="A4" s="3" t="s">
        <v>1</v>
      </c>
      <c r="B4" s="4"/>
      <c r="D4" s="3" t="s">
        <v>2</v>
      </c>
      <c r="E4" s="4"/>
      <c r="F4" s="4"/>
      <c r="G4" s="4"/>
    </row>
    <row r="5" spans="1:7" x14ac:dyDescent="0.2">
      <c r="A5" s="5" t="s">
        <v>3</v>
      </c>
      <c r="B5" s="6">
        <f>Assumptions!$B$30</f>
        <v>9.7469999999999999</v>
      </c>
      <c r="D5" s="5" t="s">
        <v>4</v>
      </c>
      <c r="F5" s="7" t="str">
        <f>CHOOSE(Assumptions!$B$56,"Base","Downside","Upside","Management case")</f>
        <v>Base</v>
      </c>
    </row>
    <row r="6" spans="1:7" x14ac:dyDescent="0.2">
      <c r="A6" s="5" t="s">
        <v>5</v>
      </c>
      <c r="B6" s="8">
        <f>Assumptions!$B$29</f>
        <v>0.35</v>
      </c>
      <c r="D6" s="5" t="s">
        <v>6</v>
      </c>
      <c r="F6" s="9">
        <f>'Returns Analysis'!B4</f>
        <v>5</v>
      </c>
    </row>
    <row r="7" spans="1:7" x14ac:dyDescent="0.2">
      <c r="A7" s="5" t="s">
        <v>7</v>
      </c>
      <c r="B7" s="10">
        <f>Assumptions!$B$31</f>
        <v>7395.3437979999999</v>
      </c>
      <c r="D7" s="5" t="s">
        <v>8</v>
      </c>
      <c r="F7" s="11">
        <f>'Returns Analysis'!B6</f>
        <v>4.7698212044609667</v>
      </c>
    </row>
    <row r="8" spans="1:7" x14ac:dyDescent="0.2">
      <c r="A8" s="5" t="s">
        <v>9</v>
      </c>
      <c r="B8" s="10">
        <f>Assumptions!$B$32</f>
        <v>14809.343798</v>
      </c>
      <c r="D8" s="5" t="s">
        <v>10</v>
      </c>
      <c r="F8" s="12">
        <f>'Returns Analysis'!B7</f>
        <v>14166.260991397055</v>
      </c>
    </row>
    <row r="9" spans="1:7" x14ac:dyDescent="0.2">
      <c r="A9" s="5" t="s">
        <v>11</v>
      </c>
      <c r="B9" s="13">
        <f>Assumptions!$B$33</f>
        <v>5.5053322669144977</v>
      </c>
      <c r="D9" s="5" t="s">
        <v>12</v>
      </c>
      <c r="F9" s="11">
        <f>'Returns Analysis'!B15</f>
        <v>1.2593527030191545</v>
      </c>
    </row>
    <row r="10" spans="1:7" x14ac:dyDescent="0.2">
      <c r="A10" s="5" t="s">
        <v>13</v>
      </c>
      <c r="B10" s="13">
        <f>Assumptions!$B$26</f>
        <v>4.7698212044609667</v>
      </c>
      <c r="D10" s="5" t="s">
        <v>14</v>
      </c>
      <c r="F10" s="14">
        <f>'Returns Analysis'!B16</f>
        <v>4.7199619474759258E-2</v>
      </c>
    </row>
    <row r="11" spans="1:7" x14ac:dyDescent="0.2">
      <c r="A11" s="5" t="s">
        <v>15</v>
      </c>
      <c r="B11" s="13">
        <f>'Sources &amp; Uses'!B22</f>
        <v>4</v>
      </c>
      <c r="D11" s="5" t="s">
        <v>16</v>
      </c>
      <c r="F11" s="7" t="str">
        <f>IF(COUNTIF('Returns Analysis'!B30:B34,"OK")=5,"All pass","REVIEW")</f>
        <v>All pass</v>
      </c>
    </row>
    <row r="12" spans="1:7" x14ac:dyDescent="0.2">
      <c r="A12" s="5" t="s">
        <v>17</v>
      </c>
      <c r="B12" s="10">
        <f>'Sources &amp; Uses'!B15</f>
        <v>4576.6272359800005</v>
      </c>
    </row>
    <row r="13" spans="1:7" x14ac:dyDescent="0.2">
      <c r="A13" s="5" t="s">
        <v>18</v>
      </c>
      <c r="B13" s="8">
        <f>'Sources &amp; Uses'!B24</f>
        <v>0.29841158460467443</v>
      </c>
      <c r="D13" s="2"/>
    </row>
    <row r="14" spans="1:7" x14ac:dyDescent="0.2">
      <c r="A14" s="5" t="s">
        <v>19</v>
      </c>
      <c r="B14" s="10">
        <f>Assumptions!$B$8</f>
        <v>5165</v>
      </c>
    </row>
    <row r="15" spans="1:7" x14ac:dyDescent="0.2">
      <c r="A15" s="5" t="s">
        <v>20</v>
      </c>
      <c r="B15" s="10">
        <f>Assumptions!$B$12</f>
        <v>2690</v>
      </c>
    </row>
    <row r="17" spans="1:7" x14ac:dyDescent="0.2">
      <c r="A17" s="3" t="s">
        <v>21</v>
      </c>
      <c r="B17" s="4"/>
      <c r="C17" s="4"/>
      <c r="D17" s="4"/>
      <c r="E17" s="4"/>
      <c r="F17" s="4"/>
      <c r="G17" s="4"/>
    </row>
    <row r="18" spans="1:7" x14ac:dyDescent="0.2">
      <c r="A18" s="3" t="s">
        <v>4</v>
      </c>
      <c r="B18" s="15" t="s">
        <v>22</v>
      </c>
      <c r="C18" s="15" t="s">
        <v>23</v>
      </c>
      <c r="D18" s="15" t="s">
        <v>24</v>
      </c>
      <c r="E18" s="15" t="s">
        <v>25</v>
      </c>
      <c r="F18" s="15" t="s">
        <v>26</v>
      </c>
      <c r="G18" s="15" t="s">
        <v>27</v>
      </c>
    </row>
    <row r="19" spans="1:7" x14ac:dyDescent="0.2">
      <c r="A19" s="16" t="s">
        <v>28</v>
      </c>
      <c r="B19" s="17">
        <f>Assumptions!C58</f>
        <v>0.02</v>
      </c>
      <c r="C19" s="18">
        <f>Assumptions!C59</f>
        <v>0</v>
      </c>
      <c r="D19" s="8">
        <f>Assumptions!C60</f>
        <v>0.22</v>
      </c>
      <c r="E19" s="13">
        <f>Sensitivities!H47</f>
        <v>4.7698212044609667</v>
      </c>
      <c r="F19" s="19">
        <f>Sensitivities!C47</f>
        <v>4.7199619474759258E-2</v>
      </c>
      <c r="G19" s="13">
        <f>Sensitivities!D47</f>
        <v>1.2593527030191545</v>
      </c>
    </row>
    <row r="20" spans="1:7" x14ac:dyDescent="0.2">
      <c r="A20" s="5" t="s">
        <v>29</v>
      </c>
      <c r="B20" s="17">
        <f>Assumptions!D58</f>
        <v>0</v>
      </c>
      <c r="C20" s="18">
        <f>Assumptions!D59</f>
        <v>-2E-3</v>
      </c>
      <c r="D20" s="8">
        <f>Assumptions!D60</f>
        <v>0.23499999999999999</v>
      </c>
      <c r="E20" s="13">
        <f>Sensitivities!H48</f>
        <v>4.2698212044609667</v>
      </c>
      <c r="F20" s="8">
        <f>Sensitivities!C48</f>
        <v>-0.13531202613284898</v>
      </c>
      <c r="G20" s="13">
        <f>Sensitivities!D48</f>
        <v>0.48338936812738187</v>
      </c>
    </row>
    <row r="21" spans="1:7" x14ac:dyDescent="0.2">
      <c r="A21" s="5" t="s">
        <v>30</v>
      </c>
      <c r="B21" s="17">
        <f>Assumptions!E58</f>
        <v>0.05</v>
      </c>
      <c r="C21" s="18">
        <f>Assumptions!E59</f>
        <v>4.0000000000000001E-3</v>
      </c>
      <c r="D21" s="8">
        <f>Assumptions!E60</f>
        <v>0.21</v>
      </c>
      <c r="E21" s="13">
        <f>Sensitivities!H49</f>
        <v>5.7698212044609667</v>
      </c>
      <c r="F21" s="8">
        <f>Sensitivities!C49</f>
        <v>0.22464197375686368</v>
      </c>
      <c r="G21" s="13">
        <f>Sensitivities!D49</f>
        <v>2.7545185567366426</v>
      </c>
    </row>
    <row r="22" spans="1:7" x14ac:dyDescent="0.2">
      <c r="A22" s="5" t="s">
        <v>31</v>
      </c>
      <c r="B22" s="17">
        <f>Assumptions!F58</f>
        <v>0.03</v>
      </c>
      <c r="C22" s="18">
        <f>Assumptions!F59</f>
        <v>2E-3</v>
      </c>
      <c r="D22" s="8">
        <f>Assumptions!F60</f>
        <v>0.22</v>
      </c>
      <c r="E22" s="13">
        <f>Sensitivities!H50</f>
        <v>5.5053322669144977</v>
      </c>
      <c r="F22" s="8">
        <f>Sensitivities!C50</f>
        <v>0.14744138932794559</v>
      </c>
      <c r="G22" s="13">
        <f>Sensitivities!D50</f>
        <v>1.989081399853039</v>
      </c>
    </row>
    <row r="23" spans="1:7" ht="28" customHeight="1" x14ac:dyDescent="0.2">
      <c r="A23" s="66" t="s">
        <v>32</v>
      </c>
      <c r="B23" s="67"/>
      <c r="C23" s="67"/>
      <c r="D23" s="67"/>
      <c r="E23" s="67"/>
      <c r="F23" s="67"/>
      <c r="G23" s="67"/>
    </row>
    <row r="25" spans="1:7" x14ac:dyDescent="0.2">
      <c r="A25" s="3" t="s">
        <v>33</v>
      </c>
      <c r="B25" s="4"/>
      <c r="C25" s="4"/>
      <c r="D25" s="4"/>
      <c r="E25" s="4"/>
      <c r="F25" s="4"/>
      <c r="G25" s="4"/>
    </row>
    <row r="26" spans="1:7" ht="30" customHeight="1" x14ac:dyDescent="0.2">
      <c r="A26" s="68" t="s">
        <v>329</v>
      </c>
      <c r="B26" s="67"/>
      <c r="C26" s="67"/>
      <c r="D26" s="67"/>
      <c r="E26" s="67"/>
      <c r="F26" s="67"/>
      <c r="G26" s="67"/>
    </row>
    <row r="27" spans="1:7" ht="30" customHeight="1" x14ac:dyDescent="0.2">
      <c r="A27" s="68" t="s">
        <v>330</v>
      </c>
      <c r="B27" s="67"/>
      <c r="C27" s="67"/>
      <c r="D27" s="67"/>
      <c r="E27" s="67"/>
      <c r="F27" s="67"/>
      <c r="G27" s="67"/>
    </row>
    <row r="28" spans="1:7" ht="30" customHeight="1" x14ac:dyDescent="0.2">
      <c r="A28" s="68" t="s">
        <v>331</v>
      </c>
      <c r="B28" s="67"/>
      <c r="C28" s="67"/>
      <c r="D28" s="67"/>
      <c r="E28" s="67"/>
      <c r="F28" s="67"/>
      <c r="G28" s="67"/>
    </row>
    <row r="29" spans="1:7" ht="30" customHeight="1" x14ac:dyDescent="0.2">
      <c r="A29" s="68" t="s">
        <v>34</v>
      </c>
      <c r="B29" s="67"/>
      <c r="C29" s="67"/>
      <c r="D29" s="67"/>
      <c r="E29" s="67"/>
      <c r="F29" s="67"/>
      <c r="G29" s="67"/>
    </row>
    <row r="30" spans="1:7" ht="30" customHeight="1" x14ac:dyDescent="0.2">
      <c r="A30" s="68" t="s">
        <v>332</v>
      </c>
      <c r="B30" s="67"/>
      <c r="C30" s="67"/>
      <c r="D30" s="67"/>
      <c r="E30" s="67"/>
      <c r="F30" s="67"/>
      <c r="G30" s="67"/>
    </row>
    <row r="48" spans="1:1" x14ac:dyDescent="0.2">
      <c r="A48" s="2"/>
    </row>
  </sheetData>
  <mergeCells count="6">
    <mergeCell ref="A23:G23"/>
    <mergeCell ref="A27:G27"/>
    <mergeCell ref="A26:G26"/>
    <mergeCell ref="A30:G30"/>
    <mergeCell ref="A29:G29"/>
    <mergeCell ref="A28:G28"/>
  </mergeCells>
  <pageMargins left="0.4" right="0.4" top="0.5" bottom="0.5" header="0.5" footer="0.5"/>
  <pageSetup scale="7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5"/>
  <sheetViews>
    <sheetView showGridLines="0" workbookViewId="0">
      <pane xSplit="1" ySplit="3" topLeftCell="D38" activePane="bottomRight" state="frozen"/>
      <selection activeCell="F39" sqref="F39"/>
      <selection pane="topRight" activeCell="F39" sqref="F39"/>
      <selection pane="bottomLeft" activeCell="F39" sqref="F39"/>
      <selection pane="bottomRight" activeCell="E77" sqref="E77"/>
    </sheetView>
  </sheetViews>
  <sheetFormatPr baseColWidth="10" defaultColWidth="8.83203125" defaultRowHeight="15" x14ac:dyDescent="0.2"/>
  <cols>
    <col min="1" max="1" width="52" customWidth="1"/>
    <col min="2" max="6" width="14" customWidth="1"/>
    <col min="7" max="7" width="120" customWidth="1"/>
  </cols>
  <sheetData>
    <row r="1" spans="1:7" ht="18" x14ac:dyDescent="0.2">
      <c r="A1" s="20" t="s">
        <v>35</v>
      </c>
    </row>
    <row r="2" spans="1:7" x14ac:dyDescent="0.2">
      <c r="A2" s="2" t="s">
        <v>36</v>
      </c>
    </row>
    <row r="4" spans="1:7" x14ac:dyDescent="0.2">
      <c r="A4" s="3" t="s">
        <v>37</v>
      </c>
      <c r="B4" s="4"/>
      <c r="C4" s="4"/>
      <c r="D4" s="4"/>
      <c r="E4" s="4"/>
      <c r="F4" s="4"/>
      <c r="G4" s="4"/>
    </row>
    <row r="5" spans="1:7" x14ac:dyDescent="0.2">
      <c r="A5" s="5" t="s">
        <v>38</v>
      </c>
      <c r="B5" s="21">
        <v>5129</v>
      </c>
      <c r="G5" s="2" t="s">
        <v>39</v>
      </c>
    </row>
    <row r="6" spans="1:7" x14ac:dyDescent="0.2">
      <c r="A6" s="5" t="s">
        <v>40</v>
      </c>
      <c r="B6" s="21">
        <v>2591</v>
      </c>
      <c r="G6" s="2" t="s">
        <v>41</v>
      </c>
    </row>
    <row r="7" spans="1:7" x14ac:dyDescent="0.2">
      <c r="A7" s="5" t="s">
        <v>42</v>
      </c>
      <c r="B7" s="21">
        <v>2555</v>
      </c>
      <c r="G7" s="2" t="s">
        <v>43</v>
      </c>
    </row>
    <row r="8" spans="1:7" x14ac:dyDescent="0.2">
      <c r="A8" s="5" t="s">
        <v>44</v>
      </c>
      <c r="B8" s="10">
        <f>$B$5+$B$6-$B$7</f>
        <v>5165</v>
      </c>
    </row>
    <row r="9" spans="1:7" x14ac:dyDescent="0.2">
      <c r="A9" s="5" t="s">
        <v>45</v>
      </c>
      <c r="B9" s="21">
        <v>2680</v>
      </c>
      <c r="G9" s="2" t="s">
        <v>46</v>
      </c>
    </row>
    <row r="10" spans="1:7" x14ac:dyDescent="0.2">
      <c r="A10" s="5" t="s">
        <v>47</v>
      </c>
      <c r="B10" s="21">
        <v>1345</v>
      </c>
      <c r="G10" s="2" t="s">
        <v>48</v>
      </c>
    </row>
    <row r="11" spans="1:7" x14ac:dyDescent="0.2">
      <c r="A11" s="5" t="s">
        <v>49</v>
      </c>
      <c r="B11" s="21">
        <v>1335</v>
      </c>
      <c r="G11" s="2" t="s">
        <v>50</v>
      </c>
    </row>
    <row r="12" spans="1:7" x14ac:dyDescent="0.2">
      <c r="A12" s="5" t="s">
        <v>51</v>
      </c>
      <c r="B12" s="10">
        <f>$B$9+$B$10-$B$11</f>
        <v>2690</v>
      </c>
    </row>
    <row r="13" spans="1:7" x14ac:dyDescent="0.2">
      <c r="A13" s="5" t="s">
        <v>52</v>
      </c>
      <c r="B13" s="8">
        <f>$B$12/$B$8</f>
        <v>0.52081316553727008</v>
      </c>
    </row>
    <row r="15" spans="1:7" x14ac:dyDescent="0.2">
      <c r="A15" s="3" t="s">
        <v>53</v>
      </c>
      <c r="B15" s="4"/>
      <c r="C15" s="4"/>
      <c r="D15" s="4"/>
      <c r="E15" s="4"/>
      <c r="F15" s="4"/>
      <c r="G15" s="4"/>
    </row>
    <row r="16" spans="1:7" x14ac:dyDescent="0.2">
      <c r="A16" s="5" t="s">
        <v>54</v>
      </c>
      <c r="B16" s="22">
        <v>7.22</v>
      </c>
      <c r="G16" s="2" t="s">
        <v>328</v>
      </c>
    </row>
    <row r="17" spans="1:7" x14ac:dyDescent="0.2">
      <c r="A17" s="5" t="s">
        <v>55</v>
      </c>
      <c r="B17" s="23">
        <v>730.6</v>
      </c>
      <c r="G17" s="2" t="s">
        <v>56</v>
      </c>
    </row>
    <row r="18" spans="1:7" x14ac:dyDescent="0.2">
      <c r="A18" s="5" t="s">
        <v>57</v>
      </c>
      <c r="B18" s="24">
        <f>Dilution!F16</f>
        <v>19.651944598337948</v>
      </c>
      <c r="G18" s="2" t="s">
        <v>58</v>
      </c>
    </row>
    <row r="19" spans="1:7" x14ac:dyDescent="0.2">
      <c r="A19" s="5" t="s">
        <v>59</v>
      </c>
      <c r="B19" s="24">
        <f>Dilution!E16</f>
        <v>28.130255258028111</v>
      </c>
      <c r="G19" s="2" t="s">
        <v>60</v>
      </c>
    </row>
    <row r="20" spans="1:7" x14ac:dyDescent="0.2">
      <c r="A20" s="5" t="s">
        <v>61</v>
      </c>
      <c r="B20" s="25">
        <f>$B$17+$B$19</f>
        <v>758.73025525802814</v>
      </c>
    </row>
    <row r="21" spans="1:7" x14ac:dyDescent="0.2">
      <c r="A21" s="5" t="s">
        <v>62</v>
      </c>
      <c r="B21" s="10">
        <f>$B$16*($B$17+$B$18)</f>
        <v>5416.8190400000003</v>
      </c>
    </row>
    <row r="22" spans="1:7" x14ac:dyDescent="0.2">
      <c r="A22" s="5" t="s">
        <v>63</v>
      </c>
      <c r="B22" s="21">
        <v>7418</v>
      </c>
      <c r="G22" s="2" t="s">
        <v>64</v>
      </c>
    </row>
    <row r="23" spans="1:7" x14ac:dyDescent="0.2">
      <c r="A23" s="5" t="s">
        <v>65</v>
      </c>
      <c r="B23" s="21">
        <v>4</v>
      </c>
      <c r="G23" s="2" t="s">
        <v>66</v>
      </c>
    </row>
    <row r="24" spans="1:7" x14ac:dyDescent="0.2">
      <c r="A24" s="5" t="s">
        <v>67</v>
      </c>
      <c r="B24" s="10">
        <f>$B$22-$B$23</f>
        <v>7414</v>
      </c>
    </row>
    <row r="25" spans="1:7" x14ac:dyDescent="0.2">
      <c r="A25" s="5" t="s">
        <v>68</v>
      </c>
      <c r="B25" s="10">
        <f>$B$21+$B$24</f>
        <v>12830.81904</v>
      </c>
    </row>
    <row r="26" spans="1:7" x14ac:dyDescent="0.2">
      <c r="A26" s="5" t="s">
        <v>69</v>
      </c>
      <c r="B26" s="13">
        <f>$B$25/$B$12</f>
        <v>4.7698212044609667</v>
      </c>
    </row>
    <row r="28" spans="1:7" x14ac:dyDescent="0.2">
      <c r="A28" s="3" t="s">
        <v>70</v>
      </c>
      <c r="B28" s="4"/>
      <c r="C28" s="4"/>
      <c r="D28" s="4"/>
      <c r="E28" s="4"/>
      <c r="F28" s="4"/>
      <c r="G28" s="4"/>
    </row>
    <row r="29" spans="1:7" x14ac:dyDescent="0.2">
      <c r="A29" s="5" t="s">
        <v>71</v>
      </c>
      <c r="B29" s="26">
        <v>0.35</v>
      </c>
      <c r="G29" s="2" t="s">
        <v>327</v>
      </c>
    </row>
    <row r="30" spans="1:7" x14ac:dyDescent="0.2">
      <c r="A30" s="5" t="s">
        <v>72</v>
      </c>
      <c r="B30" s="6">
        <f>$B$16*(1+IF(ISNUMBER(Sensitivities!$B$9),Sensitivities!$B$9,$B$29))</f>
        <v>9.7469999999999999</v>
      </c>
    </row>
    <row r="31" spans="1:7" x14ac:dyDescent="0.2">
      <c r="A31" s="5" t="s">
        <v>73</v>
      </c>
      <c r="B31" s="10">
        <f>$B$30*$B$20</f>
        <v>7395.3437979999999</v>
      </c>
    </row>
    <row r="32" spans="1:7" x14ac:dyDescent="0.2">
      <c r="A32" s="5" t="s">
        <v>74</v>
      </c>
      <c r="B32" s="10">
        <f>$B$31+$B$24</f>
        <v>14809.343798</v>
      </c>
    </row>
    <row r="33" spans="1:7" x14ac:dyDescent="0.2">
      <c r="A33" s="5" t="s">
        <v>11</v>
      </c>
      <c r="B33" s="13">
        <f>$B$32/$B$12</f>
        <v>5.5053322669144977</v>
      </c>
    </row>
    <row r="34" spans="1:7" x14ac:dyDescent="0.2">
      <c r="A34" s="5" t="s">
        <v>75</v>
      </c>
      <c r="B34" s="26">
        <v>0.01</v>
      </c>
      <c r="G34" s="2" t="s">
        <v>76</v>
      </c>
    </row>
    <row r="35" spans="1:7" x14ac:dyDescent="0.2">
      <c r="A35" s="5" t="s">
        <v>77</v>
      </c>
      <c r="B35" s="27">
        <v>2.2499999999999999E-2</v>
      </c>
      <c r="G35" s="2" t="s">
        <v>78</v>
      </c>
    </row>
    <row r="36" spans="1:7" x14ac:dyDescent="0.2">
      <c r="A36" s="5" t="s">
        <v>79</v>
      </c>
      <c r="B36" s="28">
        <v>7</v>
      </c>
      <c r="G36" s="2" t="s">
        <v>80</v>
      </c>
    </row>
    <row r="37" spans="1:7" x14ac:dyDescent="0.2">
      <c r="A37" s="5" t="s">
        <v>81</v>
      </c>
      <c r="B37" s="27">
        <v>5.0000000000000001E-3</v>
      </c>
      <c r="G37" s="2" t="s">
        <v>82</v>
      </c>
    </row>
    <row r="38" spans="1:7" x14ac:dyDescent="0.2">
      <c r="A38" s="5" t="s">
        <v>83</v>
      </c>
      <c r="B38" s="21">
        <v>100</v>
      </c>
      <c r="G38" s="2" t="s">
        <v>84</v>
      </c>
    </row>
    <row r="40" spans="1:7" x14ac:dyDescent="0.2">
      <c r="A40" s="3" t="s">
        <v>85</v>
      </c>
      <c r="B40" s="4"/>
      <c r="C40" s="4"/>
      <c r="D40" s="4"/>
      <c r="E40" s="4"/>
      <c r="F40" s="4"/>
      <c r="G40" s="4"/>
    </row>
    <row r="41" spans="1:7" x14ac:dyDescent="0.2">
      <c r="A41" s="5" t="s">
        <v>86</v>
      </c>
      <c r="B41" s="29">
        <v>3</v>
      </c>
    </row>
    <row r="42" spans="1:7" x14ac:dyDescent="0.2">
      <c r="A42" s="5" t="s">
        <v>87</v>
      </c>
      <c r="B42" s="29">
        <v>1</v>
      </c>
    </row>
    <row r="43" spans="1:7" x14ac:dyDescent="0.2">
      <c r="A43" s="5" t="s">
        <v>88</v>
      </c>
      <c r="B43" s="30">
        <f>$B$41+$B$42</f>
        <v>4</v>
      </c>
    </row>
    <row r="44" spans="1:7" x14ac:dyDescent="0.2">
      <c r="A44" s="5" t="s">
        <v>89</v>
      </c>
      <c r="B44" s="27">
        <v>3.5999999999999997E-2</v>
      </c>
      <c r="G44" s="2" t="s">
        <v>90</v>
      </c>
    </row>
    <row r="45" spans="1:7" x14ac:dyDescent="0.2">
      <c r="A45" s="5" t="s">
        <v>91</v>
      </c>
      <c r="B45" s="27">
        <v>0</v>
      </c>
      <c r="G45" s="2" t="s">
        <v>92</v>
      </c>
    </row>
    <row r="46" spans="1:7" x14ac:dyDescent="0.2">
      <c r="A46" s="5" t="s">
        <v>93</v>
      </c>
      <c r="B46" s="27">
        <v>3.5000000000000003E-2</v>
      </c>
      <c r="G46" s="2" t="s">
        <v>94</v>
      </c>
    </row>
    <row r="47" spans="1:7" x14ac:dyDescent="0.2">
      <c r="A47" s="5" t="s">
        <v>95</v>
      </c>
      <c r="B47" s="27">
        <v>8.5000000000000006E-2</v>
      </c>
      <c r="G47" s="2" t="s">
        <v>96</v>
      </c>
    </row>
    <row r="48" spans="1:7" x14ac:dyDescent="0.2">
      <c r="A48" s="5" t="s">
        <v>97</v>
      </c>
      <c r="B48" s="26">
        <v>0.01</v>
      </c>
    </row>
    <row r="49" spans="1:7" x14ac:dyDescent="0.2">
      <c r="A49" s="5" t="s">
        <v>98</v>
      </c>
      <c r="B49" s="26">
        <v>0.75</v>
      </c>
      <c r="G49" s="2" t="s">
        <v>99</v>
      </c>
    </row>
    <row r="50" spans="1:7" x14ac:dyDescent="0.2">
      <c r="A50" s="5" t="s">
        <v>100</v>
      </c>
      <c r="B50" s="27">
        <v>0.03</v>
      </c>
      <c r="G50" s="2" t="s">
        <v>101</v>
      </c>
    </row>
    <row r="51" spans="1:7" x14ac:dyDescent="0.2">
      <c r="A51" s="5" t="s">
        <v>102</v>
      </c>
      <c r="B51" s="21">
        <v>416</v>
      </c>
      <c r="G51" s="2" t="s">
        <v>103</v>
      </c>
    </row>
    <row r="52" spans="1:7" x14ac:dyDescent="0.2">
      <c r="A52" s="5" t="s">
        <v>104</v>
      </c>
      <c r="B52" s="27">
        <v>9.4999999999999998E-3</v>
      </c>
      <c r="G52" s="2" t="s">
        <v>105</v>
      </c>
    </row>
    <row r="54" spans="1:7" x14ac:dyDescent="0.2">
      <c r="A54" s="3" t="s">
        <v>106</v>
      </c>
      <c r="B54" s="4"/>
      <c r="C54" s="4"/>
      <c r="D54" s="4"/>
      <c r="E54" s="4"/>
      <c r="F54" s="4"/>
      <c r="G54" s="4"/>
    </row>
    <row r="55" spans="1:7" x14ac:dyDescent="0.2">
      <c r="A55" s="5" t="s">
        <v>107</v>
      </c>
      <c r="B55" s="31">
        <v>1</v>
      </c>
      <c r="G55" s="2" t="s">
        <v>108</v>
      </c>
    </row>
    <row r="56" spans="1:7" x14ac:dyDescent="0.2">
      <c r="A56" s="5" t="s">
        <v>109</v>
      </c>
      <c r="B56" s="32">
        <f>IF(ISNUMBER(Sensitivities!$B$10),Sensitivities!$B$10,$B$55)</f>
        <v>1</v>
      </c>
      <c r="C56" s="16" t="str">
        <f>CHOOSE($B$56,"Base","Downside","Upside","Management case")</f>
        <v>Base</v>
      </c>
      <c r="G56" s="2" t="s">
        <v>110</v>
      </c>
    </row>
    <row r="57" spans="1:7" x14ac:dyDescent="0.2">
      <c r="A57" s="33" t="s">
        <v>111</v>
      </c>
      <c r="B57" s="34" t="s">
        <v>112</v>
      </c>
      <c r="C57" s="34" t="s">
        <v>28</v>
      </c>
      <c r="D57" s="34" t="s">
        <v>29</v>
      </c>
      <c r="E57" s="34" t="s">
        <v>30</v>
      </c>
      <c r="F57" s="34" t="s">
        <v>31</v>
      </c>
    </row>
    <row r="58" spans="1:7" x14ac:dyDescent="0.2">
      <c r="A58" s="5" t="s">
        <v>113</v>
      </c>
      <c r="B58" s="35">
        <f>IF(ISNUMBER(Sensitivities!$B$5),Sensitivities!$B$5,CHOOSE($B$56,C58,D58,E58,F58))</f>
        <v>0.02</v>
      </c>
      <c r="C58" s="26">
        <v>0.02</v>
      </c>
      <c r="D58" s="26">
        <v>0</v>
      </c>
      <c r="E58" s="26">
        <v>0.05</v>
      </c>
      <c r="F58" s="26">
        <v>0.03</v>
      </c>
      <c r="G58" s="2" t="s">
        <v>114</v>
      </c>
    </row>
    <row r="59" spans="1:7" x14ac:dyDescent="0.2">
      <c r="A59" s="5" t="s">
        <v>115</v>
      </c>
      <c r="B59" s="36">
        <f>CHOOSE($B$56,C59,D59,E59,F59)</f>
        <v>0</v>
      </c>
      <c r="C59" s="27">
        <v>0</v>
      </c>
      <c r="D59" s="27">
        <v>-2E-3</v>
      </c>
      <c r="E59" s="27">
        <v>4.0000000000000001E-3</v>
      </c>
      <c r="F59" s="27">
        <v>2E-3</v>
      </c>
      <c r="G59" s="2" t="s">
        <v>116</v>
      </c>
    </row>
    <row r="60" spans="1:7" x14ac:dyDescent="0.2">
      <c r="A60" s="5" t="s">
        <v>117</v>
      </c>
      <c r="B60" s="35">
        <f>IF(ISNUMBER(Sensitivities!$B$7),Sensitivities!$B$7,CHOOSE($B$56,C60,D60,E60,F60))</f>
        <v>0.22</v>
      </c>
      <c r="C60" s="26">
        <v>0.22</v>
      </c>
      <c r="D60" s="26">
        <v>0.23499999999999999</v>
      </c>
      <c r="E60" s="26">
        <v>0.21</v>
      </c>
      <c r="F60" s="26">
        <v>0.22</v>
      </c>
      <c r="G60" s="2" t="s">
        <v>118</v>
      </c>
    </row>
    <row r="61" spans="1:7" x14ac:dyDescent="0.2">
      <c r="A61" s="5" t="s">
        <v>119</v>
      </c>
      <c r="B61" s="37">
        <f>IF(ISNUMBER(Sensitivities!$B$6),Sensitivities!$B$6,CHOOSE($B$56,C61,D61,E61,F61))</f>
        <v>0</v>
      </c>
      <c r="C61" s="38">
        <v>0</v>
      </c>
      <c r="D61" s="38">
        <v>-0.5</v>
      </c>
      <c r="E61" s="38">
        <v>1</v>
      </c>
      <c r="F61" s="39">
        <f>$B$33-$B$26</f>
        <v>0.73551106245353104</v>
      </c>
      <c r="G61" s="2" t="s">
        <v>120</v>
      </c>
    </row>
    <row r="63" spans="1:7" x14ac:dyDescent="0.2">
      <c r="A63" s="3" t="s">
        <v>121</v>
      </c>
      <c r="B63" s="4"/>
      <c r="C63" s="4"/>
      <c r="D63" s="4"/>
      <c r="E63" s="4"/>
      <c r="F63" s="4"/>
      <c r="G63" s="4"/>
    </row>
    <row r="64" spans="1:7" x14ac:dyDescent="0.2">
      <c r="A64" s="5" t="s">
        <v>122</v>
      </c>
      <c r="B64" s="26">
        <v>3.5000000000000003E-2</v>
      </c>
      <c r="G64" s="2" t="s">
        <v>123</v>
      </c>
    </row>
    <row r="65" spans="1:7" x14ac:dyDescent="0.2">
      <c r="A65" s="5" t="s">
        <v>124</v>
      </c>
      <c r="B65" s="26">
        <v>1</v>
      </c>
      <c r="G65" s="2" t="s">
        <v>125</v>
      </c>
    </row>
    <row r="66" spans="1:7" x14ac:dyDescent="0.2">
      <c r="A66" s="5" t="s">
        <v>126</v>
      </c>
      <c r="B66" s="26">
        <v>5.0000000000000001E-3</v>
      </c>
    </row>
    <row r="67" spans="1:7" x14ac:dyDescent="0.2">
      <c r="A67" s="5" t="s">
        <v>127</v>
      </c>
      <c r="B67" s="26">
        <v>0.26</v>
      </c>
      <c r="G67" s="2" t="s">
        <v>128</v>
      </c>
    </row>
    <row r="68" spans="1:7" x14ac:dyDescent="0.2">
      <c r="A68" s="5" t="s">
        <v>129</v>
      </c>
      <c r="B68" s="26">
        <v>0.3</v>
      </c>
      <c r="G68" s="2" t="s">
        <v>130</v>
      </c>
    </row>
    <row r="69" spans="1:7" x14ac:dyDescent="0.2">
      <c r="A69" s="5" t="s">
        <v>131</v>
      </c>
      <c r="B69" s="26">
        <v>0.08</v>
      </c>
      <c r="G69" s="2" t="s">
        <v>132</v>
      </c>
    </row>
    <row r="71" spans="1:7" x14ac:dyDescent="0.2">
      <c r="A71" s="3" t="s">
        <v>133</v>
      </c>
      <c r="B71" s="4"/>
      <c r="C71" s="4"/>
      <c r="D71" s="4"/>
      <c r="E71" s="4"/>
      <c r="F71" s="4"/>
      <c r="G71" s="4"/>
    </row>
    <row r="72" spans="1:7" x14ac:dyDescent="0.2">
      <c r="A72" s="5" t="s">
        <v>134</v>
      </c>
      <c r="B72" s="28">
        <v>5</v>
      </c>
      <c r="G72" s="2" t="s">
        <v>135</v>
      </c>
    </row>
    <row r="73" spans="1:7" x14ac:dyDescent="0.2">
      <c r="A73" s="5" t="s">
        <v>136</v>
      </c>
      <c r="B73" s="13">
        <f>$B$26+$B$61</f>
        <v>4.7698212044609667</v>
      </c>
    </row>
    <row r="75" spans="1:7" x14ac:dyDescent="0.2">
      <c r="A75" s="2" t="s">
        <v>334</v>
      </c>
    </row>
  </sheetData>
  <dataValidations count="2">
    <dataValidation type="list" sqref="B55" xr:uid="{00000000-0002-0000-0100-000000000000}">
      <formula1>"1,2,3,4"</formula1>
    </dataValidation>
    <dataValidation type="list" sqref="B72" xr:uid="{00000000-0002-0000-0100-000001000000}">
      <formula1>"3,4,5"</formula1>
    </dataValidation>
  </dataValidations>
  <pageMargins left="0.4" right="0.4" top="0.5" bottom="0.5" header="0.5" footer="0.5"/>
  <pageSetup fitToHeight="0" orientation="landscape"/>
  <headerFooter>
    <oddFooter>&amp;C&amp;8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"/>
  <sheetViews>
    <sheetView showGridLines="0" workbookViewId="0">
      <selection activeCell="F39" sqref="F39"/>
    </sheetView>
  </sheetViews>
  <sheetFormatPr baseColWidth="10" defaultColWidth="8.83203125" defaultRowHeight="15" x14ac:dyDescent="0.2"/>
  <cols>
    <col min="1" max="1" width="66" customWidth="1"/>
    <col min="2" max="4" width="16" customWidth="1"/>
    <col min="5" max="6" width="22" customWidth="1"/>
  </cols>
  <sheetData>
    <row r="1" spans="1:6" ht="18" x14ac:dyDescent="0.2">
      <c r="A1" s="20" t="s">
        <v>137</v>
      </c>
    </row>
    <row r="2" spans="1:6" x14ac:dyDescent="0.2">
      <c r="A2" s="2" t="s">
        <v>138</v>
      </c>
    </row>
    <row r="4" spans="1:6" x14ac:dyDescent="0.2">
      <c r="A4" s="5" t="s">
        <v>139</v>
      </c>
      <c r="B4" s="40">
        <f>Assumptions!$B$30</f>
        <v>9.7469999999999999</v>
      </c>
    </row>
    <row r="5" spans="1:6" x14ac:dyDescent="0.2">
      <c r="A5" s="5" t="s">
        <v>140</v>
      </c>
      <c r="B5" s="40">
        <f>Assumptions!$B$16</f>
        <v>7.22</v>
      </c>
    </row>
    <row r="7" spans="1:6" x14ac:dyDescent="0.2">
      <c r="A7" s="3" t="s">
        <v>141</v>
      </c>
      <c r="B7" s="15" t="s">
        <v>142</v>
      </c>
      <c r="C7" s="15" t="s">
        <v>143</v>
      </c>
      <c r="D7" s="15" t="s">
        <v>144</v>
      </c>
      <c r="E7" s="15" t="s">
        <v>145</v>
      </c>
      <c r="F7" s="15" t="s">
        <v>146</v>
      </c>
    </row>
    <row r="8" spans="1:6" x14ac:dyDescent="0.2">
      <c r="A8" s="5" t="s">
        <v>147</v>
      </c>
      <c r="B8" s="41">
        <v>25.172000000000001</v>
      </c>
      <c r="C8" s="22">
        <v>6.97</v>
      </c>
      <c r="D8" s="26">
        <v>1</v>
      </c>
      <c r="E8" s="42">
        <f t="shared" ref="E8:E15" si="0">IF($B$4&gt;C8,B8*D8*(1-C8/$B$4),0)</f>
        <v>7.1717086282958853</v>
      </c>
      <c r="F8" s="42">
        <f t="shared" ref="F8:F15" si="1">IF($B$5&gt;C8,B8*D8*(1-C8/$B$5),0)</f>
        <v>0.87160664819944611</v>
      </c>
    </row>
    <row r="9" spans="1:6" x14ac:dyDescent="0.2">
      <c r="A9" s="5" t="s">
        <v>148</v>
      </c>
      <c r="B9" s="41">
        <v>9</v>
      </c>
      <c r="C9" s="22">
        <v>6.74</v>
      </c>
      <c r="D9" s="26">
        <v>1</v>
      </c>
      <c r="E9" s="42">
        <f t="shared" si="0"/>
        <v>2.7765466297322252</v>
      </c>
      <c r="F9" s="42">
        <f t="shared" si="1"/>
        <v>0.59833795013850344</v>
      </c>
    </row>
    <row r="10" spans="1:6" x14ac:dyDescent="0.2">
      <c r="A10" s="5" t="s">
        <v>149</v>
      </c>
      <c r="B10" s="41">
        <v>5.9550000000000001</v>
      </c>
      <c r="C10" s="22">
        <v>13.3</v>
      </c>
      <c r="D10" s="26">
        <v>1</v>
      </c>
      <c r="E10" s="42">
        <f t="shared" si="0"/>
        <v>0</v>
      </c>
      <c r="F10" s="42">
        <f t="shared" si="1"/>
        <v>0</v>
      </c>
    </row>
    <row r="11" spans="1:6" x14ac:dyDescent="0.2">
      <c r="A11" s="5" t="s">
        <v>150</v>
      </c>
      <c r="B11" s="41">
        <v>5.625</v>
      </c>
      <c r="C11" s="22">
        <v>13.3</v>
      </c>
      <c r="D11" s="26">
        <v>1</v>
      </c>
      <c r="E11" s="42">
        <f t="shared" si="0"/>
        <v>0</v>
      </c>
      <c r="F11" s="42">
        <f t="shared" si="1"/>
        <v>0</v>
      </c>
    </row>
    <row r="12" spans="1:6" x14ac:dyDescent="0.2">
      <c r="A12" s="5" t="s">
        <v>151</v>
      </c>
      <c r="B12" s="41">
        <v>7.9820000000000002</v>
      </c>
      <c r="C12" s="22">
        <v>0</v>
      </c>
      <c r="D12" s="26">
        <v>1</v>
      </c>
      <c r="E12" s="42">
        <f t="shared" si="0"/>
        <v>7.9820000000000002</v>
      </c>
      <c r="F12" s="42">
        <f t="shared" si="1"/>
        <v>7.9820000000000002</v>
      </c>
    </row>
    <row r="13" spans="1:6" x14ac:dyDescent="0.2">
      <c r="A13" s="5" t="s">
        <v>152</v>
      </c>
      <c r="B13" s="41">
        <v>4</v>
      </c>
      <c r="C13" s="22">
        <v>0</v>
      </c>
      <c r="D13" s="26">
        <v>1</v>
      </c>
      <c r="E13" s="42">
        <f t="shared" si="0"/>
        <v>4</v>
      </c>
      <c r="F13" s="42">
        <f t="shared" si="1"/>
        <v>4</v>
      </c>
    </row>
    <row r="14" spans="1:6" x14ac:dyDescent="0.2">
      <c r="A14" s="5" t="s">
        <v>153</v>
      </c>
      <c r="B14" s="41">
        <v>8</v>
      </c>
      <c r="C14" s="22">
        <v>0</v>
      </c>
      <c r="D14" s="26">
        <v>1</v>
      </c>
      <c r="E14" s="42">
        <f t="shared" si="0"/>
        <v>8</v>
      </c>
      <c r="F14" s="42">
        <f t="shared" si="1"/>
        <v>8</v>
      </c>
    </row>
    <row r="15" spans="1:6" x14ac:dyDescent="0.2">
      <c r="A15" s="5" t="s">
        <v>154</v>
      </c>
      <c r="B15" s="41">
        <v>-1.8</v>
      </c>
      <c r="C15" s="22">
        <v>0</v>
      </c>
      <c r="D15" s="26">
        <v>1</v>
      </c>
      <c r="E15" s="42">
        <f t="shared" si="0"/>
        <v>-1.8</v>
      </c>
      <c r="F15" s="42">
        <f t="shared" si="1"/>
        <v>-1.8</v>
      </c>
    </row>
    <row r="16" spans="1:6" x14ac:dyDescent="0.2">
      <c r="A16" s="16" t="s">
        <v>155</v>
      </c>
      <c r="E16" s="43">
        <f>SUM(E8:E15)</f>
        <v>28.130255258028111</v>
      </c>
      <c r="F16" s="43">
        <f>SUM(F8:F15)</f>
        <v>19.651944598337948</v>
      </c>
    </row>
    <row r="18" spans="1:6" ht="28" customHeight="1" x14ac:dyDescent="0.2">
      <c r="A18" s="66" t="s">
        <v>156</v>
      </c>
      <c r="B18" s="67"/>
      <c r="C18" s="67"/>
      <c r="D18" s="67"/>
      <c r="E18" s="67"/>
      <c r="F18" s="67"/>
    </row>
    <row r="19" spans="1:6" ht="28" customHeight="1" x14ac:dyDescent="0.2">
      <c r="A19" s="66" t="s">
        <v>157</v>
      </c>
      <c r="B19" s="67"/>
      <c r="C19" s="67"/>
      <c r="D19" s="67"/>
      <c r="E19" s="67"/>
      <c r="F19" s="67"/>
    </row>
    <row r="20" spans="1:6" ht="28" customHeight="1" x14ac:dyDescent="0.2">
      <c r="A20" s="66" t="s">
        <v>158</v>
      </c>
      <c r="B20" s="67"/>
      <c r="C20" s="67"/>
      <c r="D20" s="67"/>
      <c r="E20" s="67"/>
      <c r="F20" s="67"/>
    </row>
    <row r="21" spans="1:6" ht="28" customHeight="1" x14ac:dyDescent="0.2">
      <c r="A21" s="66" t="s">
        <v>159</v>
      </c>
      <c r="B21" s="67"/>
      <c r="C21" s="67"/>
      <c r="D21" s="67"/>
      <c r="E21" s="67"/>
      <c r="F21" s="67"/>
    </row>
  </sheetData>
  <mergeCells count="4">
    <mergeCell ref="A19:F19"/>
    <mergeCell ref="A21:F21"/>
    <mergeCell ref="A20:F20"/>
    <mergeCell ref="A18:F18"/>
  </mergeCells>
  <pageMargins left="0.4" right="0.4" top="0.5" bottom="0.5" header="0.5" footer="0.5"/>
  <pageSetup orientation="landscape"/>
  <headerFooter>
    <oddFooter>&amp;C&amp;8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7"/>
  <sheetViews>
    <sheetView showGridLines="0" workbookViewId="0">
      <selection activeCell="F39" sqref="F39"/>
    </sheetView>
  </sheetViews>
  <sheetFormatPr baseColWidth="10" defaultColWidth="8.83203125" defaultRowHeight="15" x14ac:dyDescent="0.2"/>
  <cols>
    <col min="1" max="1" width="46" customWidth="1"/>
    <col min="2" max="4" width="16" customWidth="1"/>
  </cols>
  <sheetData>
    <row r="1" spans="1:4" ht="18" x14ac:dyDescent="0.2">
      <c r="A1" s="20" t="s">
        <v>160</v>
      </c>
    </row>
    <row r="3" spans="1:4" x14ac:dyDescent="0.2">
      <c r="A3" s="3" t="s">
        <v>161</v>
      </c>
      <c r="B3" s="15" t="s">
        <v>162</v>
      </c>
      <c r="C3" s="15" t="s">
        <v>163</v>
      </c>
      <c r="D3" s="15" t="s">
        <v>164</v>
      </c>
    </row>
    <row r="4" spans="1:4" x14ac:dyDescent="0.2">
      <c r="A4" s="5" t="s">
        <v>73</v>
      </c>
      <c r="B4" s="44">
        <f>Assumptions!$B$31</f>
        <v>7395.3437979999999</v>
      </c>
      <c r="C4" s="8">
        <f t="shared" ref="C4:C9" si="0">B4/$B$10</f>
        <v>0.48220144391658626</v>
      </c>
      <c r="D4" s="45">
        <f>B4/Assumptions!$B$12</f>
        <v>2.7491984379182157</v>
      </c>
    </row>
    <row r="5" spans="1:4" x14ac:dyDescent="0.2">
      <c r="A5" s="5" t="s">
        <v>165</v>
      </c>
      <c r="B5" s="44">
        <f>Assumptions!$B$24</f>
        <v>7414</v>
      </c>
      <c r="C5" s="8">
        <f t="shared" si="0"/>
        <v>0.48341789142573827</v>
      </c>
      <c r="D5" s="45">
        <f>B5/Assumptions!$B$12</f>
        <v>2.7561338289962825</v>
      </c>
    </row>
    <row r="6" spans="1:4" x14ac:dyDescent="0.2">
      <c r="A6" s="5" t="s">
        <v>166</v>
      </c>
      <c r="B6" s="44">
        <f>Assumptions!$B$34*Assumptions!$B$32</f>
        <v>148.09343798</v>
      </c>
      <c r="C6" s="8">
        <f t="shared" si="0"/>
        <v>9.6561933534232459E-3</v>
      </c>
      <c r="D6" s="45">
        <f>B6/Assumptions!$B$12</f>
        <v>5.5053322669144984E-2</v>
      </c>
    </row>
    <row r="7" spans="1:4" x14ac:dyDescent="0.2">
      <c r="A7" s="5" t="s">
        <v>167</v>
      </c>
      <c r="B7" s="44">
        <f>Assumptions!$B$35*(B13+B14)</f>
        <v>242.1</v>
      </c>
      <c r="C7" s="8">
        <f t="shared" si="0"/>
        <v>1.5785739346394826E-2</v>
      </c>
      <c r="D7" s="45">
        <f>B7/Assumptions!$B$12</f>
        <v>0.09</v>
      </c>
    </row>
    <row r="8" spans="1:4" x14ac:dyDescent="0.2">
      <c r="A8" s="5" t="s">
        <v>168</v>
      </c>
      <c r="B8" s="44">
        <f>Assumptions!$B$37*Assumptions!$B$22</f>
        <v>37.090000000000003</v>
      </c>
      <c r="C8" s="8">
        <f t="shared" si="0"/>
        <v>2.4183935248152997E-3</v>
      </c>
      <c r="D8" s="45">
        <f>B8/Assumptions!$B$12</f>
        <v>1.3788104089219332E-2</v>
      </c>
    </row>
    <row r="9" spans="1:4" x14ac:dyDescent="0.2">
      <c r="A9" s="5" t="s">
        <v>169</v>
      </c>
      <c r="B9" s="44">
        <f>Assumptions!$B$38</f>
        <v>100</v>
      </c>
      <c r="C9" s="8">
        <f t="shared" si="0"/>
        <v>6.5203384330420593E-3</v>
      </c>
      <c r="D9" s="45">
        <f>B9/Assumptions!$B$12</f>
        <v>3.717472118959108E-2</v>
      </c>
    </row>
    <row r="10" spans="1:4" x14ac:dyDescent="0.2">
      <c r="A10" s="16" t="s">
        <v>170</v>
      </c>
      <c r="B10" s="46">
        <f>SUM(B4:B9)</f>
        <v>15336.62723598</v>
      </c>
      <c r="C10" s="19">
        <f>SUM(C4:C9)</f>
        <v>1</v>
      </c>
      <c r="D10" s="47">
        <f>B10/Assumptions!$B$12</f>
        <v>5.701348414862454</v>
      </c>
    </row>
    <row r="12" spans="1:4" x14ac:dyDescent="0.2">
      <c r="A12" s="3" t="s">
        <v>171</v>
      </c>
      <c r="B12" s="15" t="s">
        <v>162</v>
      </c>
      <c r="C12" s="15" t="s">
        <v>163</v>
      </c>
      <c r="D12" s="15" t="s">
        <v>164</v>
      </c>
    </row>
    <row r="13" spans="1:4" x14ac:dyDescent="0.2">
      <c r="A13" s="5" t="s">
        <v>172</v>
      </c>
      <c r="B13" s="44">
        <f>IF(ISNUMBER(Sensitivities!$B$8),Sensitivities!$B$8-Assumptions!$B$42,Assumptions!$B$41)*Assumptions!$B$12</f>
        <v>8070</v>
      </c>
      <c r="C13" s="8">
        <f>B13/$B$16</f>
        <v>0.52619131154649412</v>
      </c>
      <c r="D13" s="45">
        <f>B13/Assumptions!$B$12</f>
        <v>3</v>
      </c>
    </row>
    <row r="14" spans="1:4" x14ac:dyDescent="0.2">
      <c r="A14" s="5" t="s">
        <v>173</v>
      </c>
      <c r="B14" s="44">
        <f>Assumptions!$B$42*Assumptions!$B$12</f>
        <v>2690</v>
      </c>
      <c r="C14" s="8">
        <f>B14/$B$16</f>
        <v>0.17539710384883139</v>
      </c>
      <c r="D14" s="45">
        <f>B14/Assumptions!$B$12</f>
        <v>1</v>
      </c>
    </row>
    <row r="15" spans="1:4" x14ac:dyDescent="0.2">
      <c r="A15" s="5" t="s">
        <v>174</v>
      </c>
      <c r="B15" s="10">
        <f>B10-B13-B14</f>
        <v>4576.6272359800005</v>
      </c>
      <c r="C15" s="8">
        <f>B15/$B$16</f>
        <v>0.29841158460467443</v>
      </c>
      <c r="D15" s="45">
        <f>B15/Assumptions!$B$12</f>
        <v>1.7013484148624538</v>
      </c>
    </row>
    <row r="16" spans="1:4" x14ac:dyDescent="0.2">
      <c r="A16" s="16" t="s">
        <v>175</v>
      </c>
      <c r="B16" s="46">
        <f>SUM(B13:B15)</f>
        <v>15336.62723598</v>
      </c>
      <c r="C16" s="19">
        <f>SUM(C13:C15)</f>
        <v>1</v>
      </c>
      <c r="D16" s="47">
        <f>B16/Assumptions!$B$12</f>
        <v>5.701348414862454</v>
      </c>
    </row>
    <row r="17" spans="1:4" x14ac:dyDescent="0.2">
      <c r="A17" s="5" t="s">
        <v>176</v>
      </c>
      <c r="B17" s="25">
        <f>B16-B10</f>
        <v>0</v>
      </c>
    </row>
    <row r="19" spans="1:4" x14ac:dyDescent="0.2">
      <c r="A19" s="3" t="s">
        <v>177</v>
      </c>
      <c r="B19" s="4"/>
      <c r="C19" s="4"/>
      <c r="D19" s="4"/>
    </row>
    <row r="20" spans="1:4" x14ac:dyDescent="0.2">
      <c r="A20" s="5" t="s">
        <v>11</v>
      </c>
      <c r="B20" s="45">
        <f>Assumptions!$B$33</f>
        <v>5.5053322669144977</v>
      </c>
    </row>
    <row r="21" spans="1:4" x14ac:dyDescent="0.2">
      <c r="A21" s="5" t="s">
        <v>178</v>
      </c>
      <c r="B21" s="45">
        <f>Assumptions!$B$32/(Assumptions!$B$12-(Assumptions!$B$60+Assumptions!$B$64)*Assumptions!$B$8)</f>
        <v>10.786709979059308</v>
      </c>
    </row>
    <row r="22" spans="1:4" x14ac:dyDescent="0.2">
      <c r="A22" s="5" t="s">
        <v>179</v>
      </c>
      <c r="B22" s="13">
        <f>(B13+B14)/Assumptions!$B$12</f>
        <v>4</v>
      </c>
    </row>
    <row r="23" spans="1:4" x14ac:dyDescent="0.2">
      <c r="A23" s="5" t="s">
        <v>180</v>
      </c>
      <c r="B23" s="13">
        <f>(B13+B14-B9)/Assumptions!$B$12</f>
        <v>3.962825278810409</v>
      </c>
    </row>
    <row r="24" spans="1:4" x14ac:dyDescent="0.2">
      <c r="A24" s="5" t="s">
        <v>181</v>
      </c>
      <c r="B24" s="8">
        <f>B15/B16</f>
        <v>0.29841158460467443</v>
      </c>
    </row>
    <row r="25" spans="1:4" x14ac:dyDescent="0.2">
      <c r="A25" s="5" t="s">
        <v>72</v>
      </c>
      <c r="B25" s="40">
        <f>Assumptions!$B$30</f>
        <v>9.7469999999999999</v>
      </c>
    </row>
    <row r="27" spans="1:4" x14ac:dyDescent="0.2">
      <c r="A27" s="2" t="s">
        <v>182</v>
      </c>
    </row>
  </sheetData>
  <pageMargins left="0.4" right="0.4" top="0.5" bottom="0.5" header="0.5" footer="0.5"/>
  <pageSetup orientation="landscape"/>
  <headerFooter>
    <oddFooter>&amp;C&amp;8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0"/>
  <sheetViews>
    <sheetView showGridLines="0" workbookViewId="0">
      <pane xSplit="1" ySplit="3" topLeftCell="B4" activePane="bottomRight" state="frozen"/>
      <selection activeCell="F39" sqref="F39"/>
      <selection pane="topRight" activeCell="F39" sqref="F39"/>
      <selection pane="bottomLeft" activeCell="F39" sqref="F39"/>
      <selection pane="bottomRight" activeCell="F39" sqref="F39"/>
    </sheetView>
  </sheetViews>
  <sheetFormatPr baseColWidth="10" defaultColWidth="8.83203125" defaultRowHeight="15" x14ac:dyDescent="0.2"/>
  <cols>
    <col min="1" max="1" width="46" customWidth="1"/>
    <col min="2" max="7" width="13" customWidth="1"/>
  </cols>
  <sheetData>
    <row r="1" spans="1:7" ht="18" x14ac:dyDescent="0.2">
      <c r="A1" s="20" t="s">
        <v>183</v>
      </c>
    </row>
    <row r="3" spans="1:7" x14ac:dyDescent="0.2">
      <c r="A3" s="3"/>
      <c r="B3" s="48">
        <v>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</row>
    <row r="4" spans="1:7" x14ac:dyDescent="0.2">
      <c r="A4" s="16" t="s">
        <v>184</v>
      </c>
      <c r="B4" s="44">
        <f>Assumptions!$B$8</f>
        <v>5165</v>
      </c>
      <c r="C4" s="44">
        <f>B4*(1+Assumptions!$B$58)</f>
        <v>5268.3</v>
      </c>
      <c r="D4" s="44">
        <f>C4*(1+Assumptions!$B$58)</f>
        <v>5373.6660000000002</v>
      </c>
      <c r="E4" s="44">
        <f>D4*(1+Assumptions!$B$58)</f>
        <v>5481.1393200000002</v>
      </c>
      <c r="F4" s="44">
        <f>E4*(1+Assumptions!$B$58)</f>
        <v>5590.7621064000004</v>
      </c>
      <c r="G4" s="44">
        <f>F4*(1+Assumptions!$B$58)</f>
        <v>5702.5773485280006</v>
      </c>
    </row>
    <row r="5" spans="1:7" x14ac:dyDescent="0.2">
      <c r="A5" s="5" t="s">
        <v>185</v>
      </c>
      <c r="C5" s="8">
        <f>C4/B4-1</f>
        <v>2.0000000000000018E-2</v>
      </c>
      <c r="D5" s="8">
        <f>D4/C4-1</f>
        <v>2.0000000000000018E-2</v>
      </c>
      <c r="E5" s="8">
        <f>E4/D4-1</f>
        <v>2.0000000000000018E-2</v>
      </c>
      <c r="F5" s="8">
        <f>F4/E4-1</f>
        <v>2.0000000000000018E-2</v>
      </c>
      <c r="G5" s="8">
        <f>G4/F4-1</f>
        <v>2.0000000000000018E-2</v>
      </c>
    </row>
    <row r="6" spans="1:7" x14ac:dyDescent="0.2">
      <c r="A6" s="5" t="s">
        <v>186</v>
      </c>
      <c r="B6" s="8">
        <f>B7/B4</f>
        <v>0.52081316553727008</v>
      </c>
      <c r="C6" s="35">
        <f>$B$6+Assumptions!$B$59*C$3</f>
        <v>0.52081316553727008</v>
      </c>
      <c r="D6" s="35">
        <f>$B$6+Assumptions!$B$59*D$3</f>
        <v>0.52081316553727008</v>
      </c>
      <c r="E6" s="35">
        <f>$B$6+Assumptions!$B$59*E$3</f>
        <v>0.52081316553727008</v>
      </c>
      <c r="F6" s="35">
        <f>$B$6+Assumptions!$B$59*F$3</f>
        <v>0.52081316553727008</v>
      </c>
      <c r="G6" s="35">
        <f>$B$6+Assumptions!$B$59*G$3</f>
        <v>0.52081316553727008</v>
      </c>
    </row>
    <row r="7" spans="1:7" x14ac:dyDescent="0.2">
      <c r="A7" s="16" t="s">
        <v>187</v>
      </c>
      <c r="B7" s="44">
        <f>Assumptions!$B$12</f>
        <v>2690</v>
      </c>
      <c r="C7" s="10">
        <f>C4*C6</f>
        <v>2743.8</v>
      </c>
      <c r="D7" s="10">
        <f>D4*D6</f>
        <v>2798.6759999999999</v>
      </c>
      <c r="E7" s="10">
        <f>E4*E6</f>
        <v>2854.6495199999999</v>
      </c>
      <c r="F7" s="10">
        <f>F4*F6</f>
        <v>2911.7425104000004</v>
      </c>
      <c r="G7" s="10">
        <f>G4*G6</f>
        <v>2969.9773606080003</v>
      </c>
    </row>
    <row r="8" spans="1:7" x14ac:dyDescent="0.2">
      <c r="A8" s="5" t="s">
        <v>188</v>
      </c>
      <c r="C8" s="44">
        <f>C22*Assumptions!$B$65</f>
        <v>1159.0260000000001</v>
      </c>
      <c r="D8" s="44">
        <f>D22*Assumptions!$B$65</f>
        <v>1182.20652</v>
      </c>
      <c r="E8" s="44">
        <f>E22*Assumptions!$B$65</f>
        <v>1205.8506503999999</v>
      </c>
      <c r="F8" s="44">
        <f>F22*Assumptions!$B$65</f>
        <v>1229.9676634080001</v>
      </c>
      <c r="G8" s="44">
        <f>G22*Assumptions!$B$65</f>
        <v>1254.5670166761602</v>
      </c>
    </row>
    <row r="9" spans="1:7" x14ac:dyDescent="0.2">
      <c r="A9" s="16" t="s">
        <v>189</v>
      </c>
      <c r="C9" s="10">
        <f>C7-C8</f>
        <v>1584.7740000000001</v>
      </c>
      <c r="D9" s="10">
        <f>D7-D8</f>
        <v>1616.46948</v>
      </c>
      <c r="E9" s="10">
        <f>E7-E8</f>
        <v>1648.7988696</v>
      </c>
      <c r="F9" s="10">
        <f>F7-F8</f>
        <v>1681.7748469920002</v>
      </c>
      <c r="G9" s="10">
        <f>G7-G8</f>
        <v>1715.4103439318401</v>
      </c>
    </row>
    <row r="10" spans="1:7" x14ac:dyDescent="0.2">
      <c r="A10" s="5" t="s">
        <v>190</v>
      </c>
      <c r="C10" s="44">
        <f>'Debt Schedule'!C7</f>
        <v>572.97</v>
      </c>
      <c r="D10" s="44">
        <f>'Debt Schedule'!D7</f>
        <v>550.67249300571439</v>
      </c>
      <c r="E10" s="44">
        <f>'Debt Schedule'!E7</f>
        <v>526.35236698510062</v>
      </c>
      <c r="F10" s="44">
        <f>'Debt Schedule'!F7</f>
        <v>499.89765441114213</v>
      </c>
      <c r="G10" s="44">
        <f>'Debt Schedule'!G7</f>
        <v>471.19093344287154</v>
      </c>
    </row>
    <row r="11" spans="1:7" x14ac:dyDescent="0.2">
      <c r="A11" s="5" t="s">
        <v>191</v>
      </c>
      <c r="C11" s="44">
        <f>'Debt Schedule'!C16</f>
        <v>228.65</v>
      </c>
      <c r="D11" s="44">
        <f>'Debt Schedule'!D16</f>
        <v>228.65</v>
      </c>
      <c r="E11" s="44">
        <f>'Debt Schedule'!E16</f>
        <v>228.65</v>
      </c>
      <c r="F11" s="44">
        <f>'Debt Schedule'!F16</f>
        <v>228.65</v>
      </c>
      <c r="G11" s="44">
        <f>'Debt Schedule'!G16</f>
        <v>228.65</v>
      </c>
    </row>
    <row r="12" spans="1:7" x14ac:dyDescent="0.2">
      <c r="A12" s="5" t="s">
        <v>192</v>
      </c>
      <c r="C12" s="44">
        <f>'Debt Schedule'!C26</f>
        <v>3</v>
      </c>
      <c r="D12" s="44">
        <f>'Debt Schedule'!D26</f>
        <v>5.3334939428571433</v>
      </c>
      <c r="E12" s="44">
        <f>'Debt Schedule'!E26</f>
        <v>7.9518638049154244</v>
      </c>
      <c r="F12" s="44">
        <f>'Debt Schedule'!F26</f>
        <v>10.870879660402537</v>
      </c>
      <c r="G12" s="44">
        <f>'Debt Schedule'!G26</f>
        <v>14.107079796778672</v>
      </c>
    </row>
    <row r="13" spans="1:7" x14ac:dyDescent="0.2">
      <c r="A13" s="16" t="s">
        <v>193</v>
      </c>
      <c r="C13" s="10">
        <f>C10+C11+'Debt Schedule'!C39-C12</f>
        <v>817.548</v>
      </c>
      <c r="D13" s="10">
        <f>D10+D11+'Debt Schedule'!D39-D12</f>
        <v>792.91699906285726</v>
      </c>
      <c r="E13" s="10">
        <f>E10+E11+'Debt Schedule'!E39-E12</f>
        <v>765.97850318018516</v>
      </c>
      <c r="F13" s="10">
        <f>F10+F11+'Debt Schedule'!F39-F12</f>
        <v>736.60477475073958</v>
      </c>
      <c r="G13" s="10">
        <f>G10+G11+'Debt Schedule'!G39-G12</f>
        <v>704.66185364609294</v>
      </c>
    </row>
    <row r="14" spans="1:7" x14ac:dyDescent="0.2">
      <c r="A14" s="5" t="s">
        <v>194</v>
      </c>
      <c r="C14" s="44">
        <f>IF(C$3&lt;=Assumptions!$B$36,'Sources &amp; Uses'!$B$7/Assumptions!$B$36,0)</f>
        <v>34.585714285714282</v>
      </c>
      <c r="D14" s="44">
        <f>IF(D$3&lt;=Assumptions!$B$36,'Sources &amp; Uses'!$B$7/Assumptions!$B$36,0)</f>
        <v>34.585714285714282</v>
      </c>
      <c r="E14" s="44">
        <f>IF(E$3&lt;=Assumptions!$B$36,'Sources &amp; Uses'!$B$7/Assumptions!$B$36,0)</f>
        <v>34.585714285714282</v>
      </c>
      <c r="F14" s="44">
        <f>IF(F$3&lt;=Assumptions!$B$36,'Sources &amp; Uses'!$B$7/Assumptions!$B$36,0)</f>
        <v>34.585714285714282</v>
      </c>
      <c r="G14" s="44">
        <f>IF(G$3&lt;=Assumptions!$B$36,'Sources &amp; Uses'!$B$7/Assumptions!$B$36,0)</f>
        <v>34.585714285714282</v>
      </c>
    </row>
    <row r="15" spans="1:7" x14ac:dyDescent="0.2">
      <c r="A15" s="16" t="s">
        <v>195</v>
      </c>
      <c r="C15" s="10">
        <f>C9-C13-C14</f>
        <v>732.64028571428582</v>
      </c>
      <c r="D15" s="10">
        <f>D9-D13-D14</f>
        <v>788.96676665142843</v>
      </c>
      <c r="E15" s="10">
        <f>E9-E13-E14</f>
        <v>848.23465213410054</v>
      </c>
      <c r="F15" s="10">
        <f>F9-F13-F14</f>
        <v>910.58435795554635</v>
      </c>
      <c r="G15" s="10">
        <f>G9-G13-G14</f>
        <v>976.16277600003286</v>
      </c>
    </row>
    <row r="16" spans="1:7" x14ac:dyDescent="0.2">
      <c r="A16" s="5" t="s">
        <v>196</v>
      </c>
      <c r="C16" s="44">
        <f>MAX(C13-Assumptions!$B$68*C7,0)</f>
        <v>0</v>
      </c>
      <c r="D16" s="44">
        <f>MAX(D13-Assumptions!$B$68*D7,0)</f>
        <v>0</v>
      </c>
      <c r="E16" s="44">
        <f>MAX(E13-Assumptions!$B$68*E7,0)</f>
        <v>0</v>
      </c>
      <c r="F16" s="44">
        <f>MAX(F13-Assumptions!$B$68*F7,0)</f>
        <v>0</v>
      </c>
      <c r="G16" s="44">
        <f>MAX(G13-Assumptions!$B$68*G7,0)</f>
        <v>0</v>
      </c>
    </row>
    <row r="17" spans="1:7" x14ac:dyDescent="0.2">
      <c r="A17" s="5" t="s">
        <v>197</v>
      </c>
      <c r="C17" s="10">
        <f>C15+C16</f>
        <v>732.64028571428582</v>
      </c>
      <c r="D17" s="10">
        <f>D15+D16</f>
        <v>788.96676665142843</v>
      </c>
      <c r="E17" s="10">
        <f>E15+E16</f>
        <v>848.23465213410054</v>
      </c>
      <c r="F17" s="10">
        <f>F15+F16</f>
        <v>910.58435795554635</v>
      </c>
      <c r="G17" s="10">
        <f>G15+G16</f>
        <v>976.16277600003286</v>
      </c>
    </row>
    <row r="18" spans="1:7" x14ac:dyDescent="0.2">
      <c r="A18" s="5" t="s">
        <v>198</v>
      </c>
      <c r="C18" s="44">
        <f>MAX(C17,0)*Assumptions!$B$67</f>
        <v>190.48647428571431</v>
      </c>
      <c r="D18" s="44">
        <f>MAX(D17,0)*Assumptions!$B$67</f>
        <v>205.13135932937141</v>
      </c>
      <c r="E18" s="44">
        <f>MAX(E17,0)*Assumptions!$B$67</f>
        <v>220.54100955486615</v>
      </c>
      <c r="F18" s="44">
        <f>MAX(F17,0)*Assumptions!$B$67</f>
        <v>236.75193306844207</v>
      </c>
      <c r="G18" s="44">
        <f>MAX(G17,0)*Assumptions!$B$67</f>
        <v>253.80232176000857</v>
      </c>
    </row>
    <row r="19" spans="1:7" x14ac:dyDescent="0.2">
      <c r="A19" s="16" t="s">
        <v>199</v>
      </c>
      <c r="C19" s="10">
        <f>C15-C18</f>
        <v>542.15381142857154</v>
      </c>
      <c r="D19" s="10">
        <f>D15-D18</f>
        <v>583.83540732205699</v>
      </c>
      <c r="E19" s="10">
        <f>E15-E18</f>
        <v>627.69364257923439</v>
      </c>
      <c r="F19" s="10">
        <f>F15-F18</f>
        <v>673.83242488710425</v>
      </c>
      <c r="G19" s="10">
        <f>G15-G18</f>
        <v>722.3604542400243</v>
      </c>
    </row>
    <row r="20" spans="1:7" x14ac:dyDescent="0.2">
      <c r="A20" s="5" t="s">
        <v>200</v>
      </c>
      <c r="C20" s="10">
        <f>C8</f>
        <v>1159.0260000000001</v>
      </c>
      <c r="D20" s="10">
        <f>D8</f>
        <v>1182.20652</v>
      </c>
      <c r="E20" s="10">
        <f>E8</f>
        <v>1205.8506503999999</v>
      </c>
      <c r="F20" s="10">
        <f>F8</f>
        <v>1229.9676634080001</v>
      </c>
      <c r="G20" s="10">
        <f>G8</f>
        <v>1254.5670166761602</v>
      </c>
    </row>
    <row r="21" spans="1:7" x14ac:dyDescent="0.2">
      <c r="A21" s="5" t="s">
        <v>201</v>
      </c>
      <c r="C21" s="10">
        <f>C14</f>
        <v>34.585714285714282</v>
      </c>
      <c r="D21" s="10">
        <f>D14</f>
        <v>34.585714285714282</v>
      </c>
      <c r="E21" s="10">
        <f>E14</f>
        <v>34.585714285714282</v>
      </c>
      <c r="F21" s="10">
        <f>F14</f>
        <v>34.585714285714282</v>
      </c>
      <c r="G21" s="10">
        <f>G14</f>
        <v>34.585714285714282</v>
      </c>
    </row>
    <row r="22" spans="1:7" x14ac:dyDescent="0.2">
      <c r="A22" s="5" t="s">
        <v>202</v>
      </c>
      <c r="C22" s="44">
        <f>C4*Assumptions!$B$60</f>
        <v>1159.0260000000001</v>
      </c>
      <c r="D22" s="44">
        <f>D4*Assumptions!$B$60</f>
        <v>1182.20652</v>
      </c>
      <c r="E22" s="44">
        <f>E4*Assumptions!$B$60</f>
        <v>1205.8506503999999</v>
      </c>
      <c r="F22" s="44">
        <f>F4*Assumptions!$B$60</f>
        <v>1229.9676634080001</v>
      </c>
      <c r="G22" s="44">
        <f>G4*Assumptions!$B$60</f>
        <v>1254.5670166761602</v>
      </c>
    </row>
    <row r="23" spans="1:7" x14ac:dyDescent="0.2">
      <c r="A23" s="5" t="s">
        <v>203</v>
      </c>
      <c r="C23" s="44">
        <f>C4*Assumptions!$B$64</f>
        <v>184.39050000000003</v>
      </c>
      <c r="D23" s="44">
        <f>D4*Assumptions!$B$64</f>
        <v>188.07831000000002</v>
      </c>
      <c r="E23" s="44">
        <f>E4*Assumptions!$B$64</f>
        <v>191.83987620000002</v>
      </c>
      <c r="F23" s="44">
        <f>F4*Assumptions!$B$64</f>
        <v>195.67667372400004</v>
      </c>
      <c r="G23" s="44">
        <f>G4*Assumptions!$B$64</f>
        <v>199.59020719848004</v>
      </c>
    </row>
    <row r="24" spans="1:7" x14ac:dyDescent="0.2">
      <c r="A24" s="5" t="s">
        <v>204</v>
      </c>
      <c r="C24" s="44">
        <f>(C4-B4)*Assumptions!$B$66</f>
        <v>0.51650000000000096</v>
      </c>
      <c r="D24" s="44">
        <f>(D4-C4)*Assumptions!$B$66</f>
        <v>0.52682999999999991</v>
      </c>
      <c r="E24" s="44">
        <f>(E4-D4)*Assumptions!$B$66</f>
        <v>0.53736660000000025</v>
      </c>
      <c r="F24" s="44">
        <f>(F4-E4)*Assumptions!$B$66</f>
        <v>0.54811393200000114</v>
      </c>
      <c r="G24" s="44">
        <f>(G4-F4)*Assumptions!$B$66</f>
        <v>0.55907621064000068</v>
      </c>
    </row>
    <row r="25" spans="1:7" x14ac:dyDescent="0.2">
      <c r="A25" s="16" t="s">
        <v>205</v>
      </c>
      <c r="C25" s="46">
        <f>C19+C20+C21-C22-C23-C24</f>
        <v>391.83252571428568</v>
      </c>
      <c r="D25" s="46">
        <f>D19+D20+D21-D22-D23-D24</f>
        <v>429.81598160777105</v>
      </c>
      <c r="E25" s="46">
        <f>E19+E20+E21-E22-E23-E24</f>
        <v>469.90211406494853</v>
      </c>
      <c r="F25" s="46">
        <f>F19+F20+F21-F22-F23-F24</f>
        <v>512.19335151681844</v>
      </c>
      <c r="G25" s="46">
        <f>G19+G20+G21-G22-G23-G24</f>
        <v>556.79688511661857</v>
      </c>
    </row>
    <row r="27" spans="1:7" x14ac:dyDescent="0.2">
      <c r="A27" s="5" t="s">
        <v>206</v>
      </c>
      <c r="C27" s="8">
        <f>C22/C4</f>
        <v>0.22</v>
      </c>
      <c r="D27" s="8">
        <f>D22/D4</f>
        <v>0.21999999999999997</v>
      </c>
      <c r="E27" s="8">
        <f>E22/E4</f>
        <v>0.21999999999999997</v>
      </c>
      <c r="F27" s="8">
        <f>F22/F4</f>
        <v>0.22</v>
      </c>
      <c r="G27" s="8">
        <f>G22/G4</f>
        <v>0.22</v>
      </c>
    </row>
    <row r="28" spans="1:7" x14ac:dyDescent="0.2">
      <c r="A28" s="5" t="s">
        <v>207</v>
      </c>
      <c r="B28" s="44">
        <f>B7-Assumptions!$B$60*B4-Assumptions!$B$64*B4</f>
        <v>1372.925</v>
      </c>
      <c r="C28" s="10">
        <f>C7-C22-C23</f>
        <v>1400.3835000000001</v>
      </c>
      <c r="D28" s="10">
        <f>D7-D22-D23</f>
        <v>1428.3911699999999</v>
      </c>
      <c r="E28" s="10">
        <f>E7-E22-E23</f>
        <v>1456.9589934000001</v>
      </c>
      <c r="F28" s="10">
        <f>F7-F22-F23</f>
        <v>1486.0981732680002</v>
      </c>
      <c r="G28" s="10">
        <f>G7-G22-G23</f>
        <v>1515.82013673336</v>
      </c>
    </row>
    <row r="29" spans="1:7" x14ac:dyDescent="0.2">
      <c r="A29" s="5" t="s">
        <v>208</v>
      </c>
      <c r="B29" s="8">
        <f t="shared" ref="B29:G29" si="0">B28/B7</f>
        <v>0.51038104089219327</v>
      </c>
      <c r="C29" s="8">
        <f t="shared" si="0"/>
        <v>0.51038104089219327</v>
      </c>
      <c r="D29" s="8">
        <f t="shared" si="0"/>
        <v>0.51038104089219327</v>
      </c>
      <c r="E29" s="8">
        <f t="shared" si="0"/>
        <v>0.51038104089219338</v>
      </c>
      <c r="F29" s="8">
        <f t="shared" si="0"/>
        <v>0.51038104089219327</v>
      </c>
      <c r="G29" s="8">
        <f t="shared" si="0"/>
        <v>0.51038104089219327</v>
      </c>
    </row>
    <row r="30" spans="1:7" x14ac:dyDescent="0.2">
      <c r="A30" s="5" t="s">
        <v>209</v>
      </c>
      <c r="C30" s="44">
        <f>'Debt Schedule'!C39</f>
        <v>18.928000000000001</v>
      </c>
      <c r="D30" s="44">
        <f>'Debt Schedule'!D39</f>
        <v>18.928000000000001</v>
      </c>
      <c r="E30" s="44">
        <f>'Debt Schedule'!E39</f>
        <v>18.928000000000001</v>
      </c>
      <c r="F30" s="44">
        <f>'Debt Schedule'!F39</f>
        <v>18.928000000000001</v>
      </c>
      <c r="G30" s="44">
        <f>'Debt Schedule'!G39</f>
        <v>18.928000000000001</v>
      </c>
    </row>
  </sheetData>
  <pageMargins left="0.4" right="0.4" top="0.5" bottom="0.5" header="0.5" footer="0.5"/>
  <pageSetup orientation="landscape"/>
  <headerFooter>
    <oddFooter>&amp;C&amp;8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9"/>
  <sheetViews>
    <sheetView showGridLines="0" workbookViewId="0">
      <pane xSplit="1" ySplit="3" topLeftCell="B4" activePane="bottomRight" state="frozen"/>
      <selection activeCell="F39" sqref="F39"/>
      <selection pane="topRight" activeCell="F39" sqref="F39"/>
      <selection pane="bottomLeft" activeCell="F39" sqref="F39"/>
      <selection pane="bottomRight" activeCell="A14" sqref="A14"/>
    </sheetView>
  </sheetViews>
  <sheetFormatPr baseColWidth="10" defaultColWidth="8.83203125" defaultRowHeight="15" x14ac:dyDescent="0.2"/>
  <cols>
    <col min="1" max="1" width="52" customWidth="1"/>
    <col min="2" max="7" width="13" customWidth="1"/>
  </cols>
  <sheetData>
    <row r="1" spans="1:7" ht="18" x14ac:dyDescent="0.2">
      <c r="A1" s="20" t="s">
        <v>210</v>
      </c>
    </row>
    <row r="2" spans="1:7" x14ac:dyDescent="0.2">
      <c r="A2" s="2" t="s">
        <v>211</v>
      </c>
    </row>
    <row r="3" spans="1:7" x14ac:dyDescent="0.2">
      <c r="A3" s="3"/>
      <c r="B3" s="48">
        <v>0</v>
      </c>
      <c r="C3" s="49">
        <v>1</v>
      </c>
      <c r="D3" s="49">
        <v>2</v>
      </c>
      <c r="E3" s="49">
        <v>3</v>
      </c>
      <c r="F3" s="49">
        <v>4</v>
      </c>
      <c r="G3" s="49">
        <v>5</v>
      </c>
    </row>
    <row r="4" spans="1:7" x14ac:dyDescent="0.2">
      <c r="A4" s="16" t="s">
        <v>172</v>
      </c>
    </row>
    <row r="5" spans="1:7" x14ac:dyDescent="0.2">
      <c r="A5" s="5" t="s">
        <v>212</v>
      </c>
      <c r="C5" s="10">
        <f>B11</f>
        <v>8070</v>
      </c>
      <c r="D5" s="10">
        <f>C11</f>
        <v>7755.9506057142862</v>
      </c>
      <c r="E5" s="10">
        <f>D11</f>
        <v>7413.4136195084584</v>
      </c>
      <c r="F5" s="10">
        <f>E11</f>
        <v>7040.8120339597472</v>
      </c>
      <c r="G5" s="10">
        <f>F11</f>
        <v>6636.4920203221336</v>
      </c>
    </row>
    <row r="6" spans="1:7" x14ac:dyDescent="0.2">
      <c r="A6" s="5" t="s">
        <v>213</v>
      </c>
      <c r="C6" s="50">
        <f>Assumptions!$B$44+Assumptions!$B$45*(C$3-1)+Assumptions!$B$46</f>
        <v>7.1000000000000008E-2</v>
      </c>
      <c r="D6" s="50">
        <f>Assumptions!$B$44+Assumptions!$B$45*(D$3-1)+Assumptions!$B$46</f>
        <v>7.1000000000000008E-2</v>
      </c>
      <c r="E6" s="50">
        <f>Assumptions!$B$44+Assumptions!$B$45*(E$3-1)+Assumptions!$B$46</f>
        <v>7.1000000000000008E-2</v>
      </c>
      <c r="F6" s="50">
        <f>Assumptions!$B$44+Assumptions!$B$45*(F$3-1)+Assumptions!$B$46</f>
        <v>7.1000000000000008E-2</v>
      </c>
      <c r="G6" s="50">
        <f>Assumptions!$B$44+Assumptions!$B$45*(G$3-1)+Assumptions!$B$46</f>
        <v>7.1000000000000008E-2</v>
      </c>
    </row>
    <row r="7" spans="1:7" x14ac:dyDescent="0.2">
      <c r="A7" s="5" t="s">
        <v>214</v>
      </c>
      <c r="C7" s="10">
        <f>C5*C6</f>
        <v>572.97</v>
      </c>
      <c r="D7" s="10">
        <f>D5*D6</f>
        <v>550.67249300571439</v>
      </c>
      <c r="E7" s="10">
        <f>E5*E6</f>
        <v>526.35236698510062</v>
      </c>
      <c r="F7" s="10">
        <f>F5*F6</f>
        <v>499.89765441114213</v>
      </c>
      <c r="G7" s="10">
        <f>G5*G6</f>
        <v>471.19093344287154</v>
      </c>
    </row>
    <row r="8" spans="1:7" x14ac:dyDescent="0.2">
      <c r="A8" s="5" t="s">
        <v>215</v>
      </c>
      <c r="C8" s="44">
        <f>MIN(Assumptions!$B$48*$B$11,C5)</f>
        <v>80.7</v>
      </c>
      <c r="D8" s="44">
        <f>MIN(Assumptions!$B$48*$B$11,D5)</f>
        <v>80.7</v>
      </c>
      <c r="E8" s="44">
        <f>MIN(Assumptions!$B$48*$B$11,E5)</f>
        <v>80.7</v>
      </c>
      <c r="F8" s="44">
        <f>MIN(Assumptions!$B$48*$B$11,F5)</f>
        <v>80.7</v>
      </c>
      <c r="G8" s="44">
        <f>MIN(Assumptions!$B$48*$B$11,G5)</f>
        <v>80.7</v>
      </c>
    </row>
    <row r="9" spans="1:7" x14ac:dyDescent="0.2">
      <c r="A9" s="5" t="s">
        <v>216</v>
      </c>
      <c r="C9" s="44">
        <f>MAX('Operating Model'!C25-C8,0)</f>
        <v>311.13252571428569</v>
      </c>
      <c r="D9" s="44">
        <f>MAX('Operating Model'!D25-D8,0)</f>
        <v>349.11598160777106</v>
      </c>
      <c r="E9" s="44">
        <f>MAX('Operating Model'!E25-E8,0)</f>
        <v>389.20211406494855</v>
      </c>
      <c r="F9" s="44">
        <f>MAX('Operating Model'!F25-F8,0)</f>
        <v>431.49335151681845</v>
      </c>
      <c r="G9" s="44">
        <f>MAX('Operating Model'!G25-G8,0)</f>
        <v>476.09688511661858</v>
      </c>
    </row>
    <row r="10" spans="1:7" x14ac:dyDescent="0.2">
      <c r="A10" s="5" t="s">
        <v>217</v>
      </c>
      <c r="C10" s="44">
        <f>MIN(C9*Assumptions!$B$49,C5-C8)</f>
        <v>233.34939428571425</v>
      </c>
      <c r="D10" s="44">
        <f>MIN(D9*Assumptions!$B$49,D5-D8)</f>
        <v>261.83698620582828</v>
      </c>
      <c r="E10" s="44">
        <f>MIN(E9*Assumptions!$B$49,E5-E8)</f>
        <v>291.90158554871141</v>
      </c>
      <c r="F10" s="44">
        <f>MIN(F9*Assumptions!$B$49,F5-F8)</f>
        <v>323.62001363761385</v>
      </c>
      <c r="G10" s="44">
        <f>MIN(G9*Assumptions!$B$49,G5-G8)</f>
        <v>357.07266383746395</v>
      </c>
    </row>
    <row r="11" spans="1:7" x14ac:dyDescent="0.2">
      <c r="A11" s="16" t="s">
        <v>218</v>
      </c>
      <c r="B11" s="44">
        <f>'Sources &amp; Uses'!B13</f>
        <v>8070</v>
      </c>
      <c r="C11" s="46">
        <f>C5-C8-C10</f>
        <v>7755.9506057142862</v>
      </c>
      <c r="D11" s="46">
        <f>D5-D8-D10</f>
        <v>7413.4136195084584</v>
      </c>
      <c r="E11" s="46">
        <f>E5-E8-E10</f>
        <v>7040.8120339597472</v>
      </c>
      <c r="F11" s="46">
        <f>F5-F8-F10</f>
        <v>6636.4920203221336</v>
      </c>
      <c r="G11" s="46">
        <f>G5-G8-G10</f>
        <v>6198.7193564846702</v>
      </c>
    </row>
    <row r="13" spans="1:7" x14ac:dyDescent="0.2">
      <c r="A13" s="16" t="s">
        <v>337</v>
      </c>
    </row>
    <row r="14" spans="1:7" x14ac:dyDescent="0.2">
      <c r="A14" s="5" t="s">
        <v>212</v>
      </c>
      <c r="C14" s="10">
        <f>B17</f>
        <v>2690</v>
      </c>
      <c r="D14" s="10">
        <f>C17</f>
        <v>2690</v>
      </c>
      <c r="E14" s="10">
        <f>D17</f>
        <v>2690</v>
      </c>
      <c r="F14" s="10">
        <f>E17</f>
        <v>2690</v>
      </c>
      <c r="G14" s="10">
        <f>F17</f>
        <v>2690</v>
      </c>
    </row>
    <row r="15" spans="1:7" x14ac:dyDescent="0.2">
      <c r="A15" s="5" t="s">
        <v>219</v>
      </c>
      <c r="C15" s="50">
        <f>Assumptions!$B$47</f>
        <v>8.5000000000000006E-2</v>
      </c>
      <c r="D15" s="50">
        <f>Assumptions!$B$47</f>
        <v>8.5000000000000006E-2</v>
      </c>
      <c r="E15" s="50">
        <f>Assumptions!$B$47</f>
        <v>8.5000000000000006E-2</v>
      </c>
      <c r="F15" s="50">
        <f>Assumptions!$B$47</f>
        <v>8.5000000000000006E-2</v>
      </c>
      <c r="G15" s="50">
        <f>Assumptions!$B$47</f>
        <v>8.5000000000000006E-2</v>
      </c>
    </row>
    <row r="16" spans="1:7" x14ac:dyDescent="0.2">
      <c r="A16" s="5" t="s">
        <v>214</v>
      </c>
      <c r="C16" s="10">
        <f>C14*C15</f>
        <v>228.65</v>
      </c>
      <c r="D16" s="10">
        <f>D14*D15</f>
        <v>228.65</v>
      </c>
      <c r="E16" s="10">
        <f>E14*E15</f>
        <v>228.65</v>
      </c>
      <c r="F16" s="10">
        <f>F14*F15</f>
        <v>228.65</v>
      </c>
      <c r="G16" s="10">
        <f>G14*G15</f>
        <v>228.65</v>
      </c>
    </row>
    <row r="17" spans="1:7" x14ac:dyDescent="0.2">
      <c r="A17" s="16" t="s">
        <v>218</v>
      </c>
      <c r="B17" s="44">
        <f>'Sources &amp; Uses'!B14</f>
        <v>2690</v>
      </c>
      <c r="C17" s="46">
        <f>C14</f>
        <v>2690</v>
      </c>
      <c r="D17" s="46">
        <f>D14</f>
        <v>2690</v>
      </c>
      <c r="E17" s="46">
        <f>E14</f>
        <v>2690</v>
      </c>
      <c r="F17" s="46">
        <f>F14</f>
        <v>2690</v>
      </c>
      <c r="G17" s="46">
        <f>G14</f>
        <v>2690</v>
      </c>
    </row>
    <row r="19" spans="1:7" x14ac:dyDescent="0.2">
      <c r="A19" s="16" t="s">
        <v>220</v>
      </c>
    </row>
    <row r="20" spans="1:7" x14ac:dyDescent="0.2">
      <c r="A20" s="5" t="s">
        <v>212</v>
      </c>
      <c r="C20" s="10">
        <f>B24</f>
        <v>100</v>
      </c>
      <c r="D20" s="10">
        <f>C24</f>
        <v>177.78313142857144</v>
      </c>
      <c r="E20" s="10">
        <f>D24</f>
        <v>265.06212683051416</v>
      </c>
      <c r="F20" s="10">
        <f>E24</f>
        <v>362.36265534675124</v>
      </c>
      <c r="G20" s="10">
        <f>F24</f>
        <v>470.23599322595578</v>
      </c>
    </row>
    <row r="21" spans="1:7" x14ac:dyDescent="0.2">
      <c r="A21" s="5" t="s">
        <v>221</v>
      </c>
      <c r="C21" s="44">
        <f>'Operating Model'!C25</f>
        <v>391.83252571428568</v>
      </c>
      <c r="D21" s="44">
        <f>'Operating Model'!D25</f>
        <v>429.81598160777105</v>
      </c>
      <c r="E21" s="44">
        <f>'Operating Model'!E25</f>
        <v>469.90211406494853</v>
      </c>
      <c r="F21" s="44">
        <f>'Operating Model'!F25</f>
        <v>512.19335151681844</v>
      </c>
      <c r="G21" s="44">
        <f>'Operating Model'!G25</f>
        <v>556.79688511661857</v>
      </c>
    </row>
    <row r="22" spans="1:7" x14ac:dyDescent="0.2">
      <c r="A22" s="5" t="s">
        <v>222</v>
      </c>
      <c r="C22" s="10">
        <f>C8</f>
        <v>80.7</v>
      </c>
      <c r="D22" s="10">
        <f>D8</f>
        <v>80.7</v>
      </c>
      <c r="E22" s="10">
        <f>E8</f>
        <v>80.7</v>
      </c>
      <c r="F22" s="10">
        <f>F8</f>
        <v>80.7</v>
      </c>
      <c r="G22" s="10">
        <f>G8</f>
        <v>80.7</v>
      </c>
    </row>
    <row r="23" spans="1:7" x14ac:dyDescent="0.2">
      <c r="A23" s="5" t="s">
        <v>223</v>
      </c>
      <c r="C23" s="10">
        <f>C10</f>
        <v>233.34939428571425</v>
      </c>
      <c r="D23" s="10">
        <f>D10</f>
        <v>261.83698620582828</v>
      </c>
      <c r="E23" s="10">
        <f>E10</f>
        <v>291.90158554871141</v>
      </c>
      <c r="F23" s="10">
        <f>F10</f>
        <v>323.62001363761385</v>
      </c>
      <c r="G23" s="10">
        <f>G10</f>
        <v>357.07266383746395</v>
      </c>
    </row>
    <row r="24" spans="1:7" x14ac:dyDescent="0.2">
      <c r="A24" s="16" t="s">
        <v>218</v>
      </c>
      <c r="B24" s="44">
        <f>Assumptions!$B$38</f>
        <v>100</v>
      </c>
      <c r="C24" s="46">
        <f>C20+C21-C22-C23</f>
        <v>177.78313142857144</v>
      </c>
      <c r="D24" s="46">
        <f>D20+D21-D22-D23</f>
        <v>265.06212683051416</v>
      </c>
      <c r="E24" s="46">
        <f>E20+E21-E22-E23</f>
        <v>362.36265534675124</v>
      </c>
      <c r="F24" s="46">
        <f>F20+F21-F22-F23</f>
        <v>470.23599322595578</v>
      </c>
      <c r="G24" s="46">
        <f>G20+G21-G22-G23</f>
        <v>589.2602145051103</v>
      </c>
    </row>
    <row r="25" spans="1:7" x14ac:dyDescent="0.2">
      <c r="A25" s="5" t="s">
        <v>224</v>
      </c>
      <c r="C25" s="50">
        <f>Assumptions!$B$50</f>
        <v>0.03</v>
      </c>
      <c r="D25" s="50">
        <f>Assumptions!$B$50</f>
        <v>0.03</v>
      </c>
      <c r="E25" s="50">
        <f>Assumptions!$B$50</f>
        <v>0.03</v>
      </c>
      <c r="F25" s="50">
        <f>Assumptions!$B$50</f>
        <v>0.03</v>
      </c>
      <c r="G25" s="50">
        <f>Assumptions!$B$50</f>
        <v>0.03</v>
      </c>
    </row>
    <row r="26" spans="1:7" x14ac:dyDescent="0.2">
      <c r="A26" s="5" t="s">
        <v>225</v>
      </c>
      <c r="C26" s="10">
        <f>C20*C25</f>
        <v>3</v>
      </c>
      <c r="D26" s="10">
        <f>D20*D25</f>
        <v>5.3334939428571433</v>
      </c>
      <c r="E26" s="10">
        <f>E20*E25</f>
        <v>7.9518638049154244</v>
      </c>
      <c r="F26" s="10">
        <f>F20*F25</f>
        <v>10.870879660402537</v>
      </c>
      <c r="G26" s="10">
        <f>G20*G25</f>
        <v>14.107079796778672</v>
      </c>
    </row>
    <row r="27" spans="1:7" x14ac:dyDescent="0.2">
      <c r="A27" s="5" t="s">
        <v>226</v>
      </c>
      <c r="C27" s="51" t="str">
        <f>IF(C24&gt;=Assumptions!$B$38-0.001,"OK","SHORTFALL")</f>
        <v>OK</v>
      </c>
      <c r="D27" s="51" t="str">
        <f>IF(D24&gt;=Assumptions!$B$38-0.001,"OK","SHORTFALL")</f>
        <v>OK</v>
      </c>
      <c r="E27" s="51" t="str">
        <f>IF(E24&gt;=Assumptions!$B$38-0.001,"OK","SHORTFALL")</f>
        <v>OK</v>
      </c>
      <c r="F27" s="51" t="str">
        <f>IF(F24&gt;=Assumptions!$B$38-0.001,"OK","SHORTFALL")</f>
        <v>OK</v>
      </c>
      <c r="G27" s="51" t="str">
        <f>IF(G24&gt;=Assumptions!$B$38-0.001,"OK","SHORTFALL")</f>
        <v>OK</v>
      </c>
    </row>
    <row r="29" spans="1:7" x14ac:dyDescent="0.2">
      <c r="A29" s="16" t="s">
        <v>227</v>
      </c>
      <c r="B29" s="10">
        <f t="shared" ref="B29:G29" si="0">B11+B17</f>
        <v>10760</v>
      </c>
      <c r="C29" s="46">
        <f t="shared" si="0"/>
        <v>10445.950605714286</v>
      </c>
      <c r="D29" s="46">
        <f t="shared" si="0"/>
        <v>10103.413619508457</v>
      </c>
      <c r="E29" s="46">
        <f t="shared" si="0"/>
        <v>9730.8120339597481</v>
      </c>
      <c r="F29" s="46">
        <f t="shared" si="0"/>
        <v>9326.4920203221336</v>
      </c>
      <c r="G29" s="46">
        <f t="shared" si="0"/>
        <v>8888.7193564846712</v>
      </c>
    </row>
    <row r="30" spans="1:7" x14ac:dyDescent="0.2">
      <c r="A30" s="16" t="s">
        <v>228</v>
      </c>
      <c r="B30" s="10">
        <f t="shared" ref="B30:G30" si="1">B29-B24</f>
        <v>10660</v>
      </c>
      <c r="C30" s="46">
        <f t="shared" si="1"/>
        <v>10268.167474285714</v>
      </c>
      <c r="D30" s="46">
        <f t="shared" si="1"/>
        <v>9838.3514926779426</v>
      </c>
      <c r="E30" s="46">
        <f t="shared" si="1"/>
        <v>9368.449378612997</v>
      </c>
      <c r="F30" s="46">
        <f t="shared" si="1"/>
        <v>8856.2560270961785</v>
      </c>
      <c r="G30" s="46">
        <f t="shared" si="1"/>
        <v>8299.4591419795615</v>
      </c>
    </row>
    <row r="31" spans="1:7" x14ac:dyDescent="0.2">
      <c r="A31" s="5" t="s">
        <v>229</v>
      </c>
      <c r="B31" s="45">
        <f>B29/'Operating Model'!B7</f>
        <v>4</v>
      </c>
      <c r="C31" s="45">
        <f>C29/'Operating Model'!C7</f>
        <v>3.8071107973300844</v>
      </c>
      <c r="D31" s="45">
        <f>D29/'Operating Model'!D7</f>
        <v>3.610069053905653</v>
      </c>
      <c r="E31" s="45">
        <f>E29/'Operating Model'!E7</f>
        <v>3.4087589267209757</v>
      </c>
      <c r="F31" s="45">
        <f>F29/'Operating Model'!F7</f>
        <v>3.2030620794971694</v>
      </c>
      <c r="G31" s="45">
        <f>G29/'Operating Model'!G7</f>
        <v>2.9928576137917133</v>
      </c>
    </row>
    <row r="32" spans="1:7" x14ac:dyDescent="0.2">
      <c r="A32" s="5" t="s">
        <v>230</v>
      </c>
      <c r="B32" s="45">
        <f>B30/'Operating Model'!B7</f>
        <v>3.962825278810409</v>
      </c>
      <c r="C32" s="45">
        <f>C30/'Operating Model'!C7</f>
        <v>3.7423163037705787</v>
      </c>
      <c r="D32" s="45">
        <f>D30/'Operating Model'!D7</f>
        <v>3.5153592243896554</v>
      </c>
      <c r="E32" s="45">
        <f>E30/'Operating Model'!E7</f>
        <v>3.281821222877475</v>
      </c>
      <c r="F32" s="45">
        <f>F30/'Operating Model'!F7</f>
        <v>3.0415656588671198</v>
      </c>
      <c r="G32" s="45">
        <f>G30/'Operating Model'!G7</f>
        <v>2.7944519887789765</v>
      </c>
    </row>
    <row r="33" spans="1:7" x14ac:dyDescent="0.2">
      <c r="A33" s="5" t="s">
        <v>231</v>
      </c>
      <c r="C33" s="45">
        <f>'Operating Model'!C7/'Operating Model'!C13</f>
        <v>3.3561332178661072</v>
      </c>
      <c r="D33" s="45">
        <f>'Operating Model'!D7/'Operating Model'!D13</f>
        <v>3.5295951572582434</v>
      </c>
      <c r="E33" s="45">
        <f>'Operating Model'!E7/'Operating Model'!E13</f>
        <v>3.7268010892578349</v>
      </c>
      <c r="F33" s="45">
        <f>'Operating Model'!F7/'Operating Model'!F13</f>
        <v>3.9529237526125294</v>
      </c>
      <c r="G33" s="45">
        <f>'Operating Model'!G7/'Operating Model'!G13</f>
        <v>4.2147554110395085</v>
      </c>
    </row>
    <row r="34" spans="1:7" x14ac:dyDescent="0.2">
      <c r="A34" s="5" t="s">
        <v>232</v>
      </c>
      <c r="C34" s="45">
        <f>'Operating Model'!C28/'Operating Model'!C13</f>
        <v>1.7129067651073699</v>
      </c>
      <c r="D34" s="45">
        <f>'Operating Model'!D28/'Operating Model'!D13</f>
        <v>1.8014384502895067</v>
      </c>
      <c r="E34" s="45">
        <f>'Operating Model'!E28/'Operating Model'!E13</f>
        <v>1.9020886191335737</v>
      </c>
      <c r="F34" s="45">
        <f>'Operating Model'!F28/'Operating Model'!F13</f>
        <v>2.0174973394258577</v>
      </c>
      <c r="G34" s="45">
        <f>'Operating Model'!G28/'Operating Model'!G13</f>
        <v>2.1511312537923479</v>
      </c>
    </row>
    <row r="36" spans="1:7" x14ac:dyDescent="0.2">
      <c r="A36" s="16" t="s">
        <v>233</v>
      </c>
    </row>
    <row r="37" spans="1:7" x14ac:dyDescent="0.2">
      <c r="A37" s="5" t="s">
        <v>234</v>
      </c>
      <c r="B37" s="44">
        <f>Assumptions!$B$51</f>
        <v>416</v>
      </c>
      <c r="C37" s="44">
        <f>Assumptions!$B$51</f>
        <v>416</v>
      </c>
      <c r="D37" s="44">
        <f>Assumptions!$B$51</f>
        <v>416</v>
      </c>
      <c r="E37" s="44">
        <f>Assumptions!$B$51</f>
        <v>416</v>
      </c>
      <c r="F37" s="44">
        <f>Assumptions!$B$51</f>
        <v>416</v>
      </c>
      <c r="G37" s="44">
        <f>Assumptions!$B$51</f>
        <v>416</v>
      </c>
    </row>
    <row r="38" spans="1:7" x14ac:dyDescent="0.2">
      <c r="A38" s="5" t="s">
        <v>235</v>
      </c>
      <c r="C38" s="50">
        <f>Assumptions!$B$44+Assumptions!$B$45*(C$3-1)+Assumptions!$B$52</f>
        <v>4.5499999999999999E-2</v>
      </c>
      <c r="D38" s="50">
        <f>Assumptions!$B$44+Assumptions!$B$45*(D$3-1)+Assumptions!$B$52</f>
        <v>4.5499999999999999E-2</v>
      </c>
      <c r="E38" s="50">
        <f>Assumptions!$B$44+Assumptions!$B$45*(E$3-1)+Assumptions!$B$52</f>
        <v>4.5499999999999999E-2</v>
      </c>
      <c r="F38" s="50">
        <f>Assumptions!$B$44+Assumptions!$B$45*(F$3-1)+Assumptions!$B$52</f>
        <v>4.5499999999999999E-2</v>
      </c>
      <c r="G38" s="50">
        <f>Assumptions!$B$44+Assumptions!$B$45*(G$3-1)+Assumptions!$B$52</f>
        <v>4.5499999999999999E-2</v>
      </c>
    </row>
    <row r="39" spans="1:7" x14ac:dyDescent="0.2">
      <c r="A39" s="5" t="s">
        <v>236</v>
      </c>
      <c r="C39" s="10">
        <f>C37*C38</f>
        <v>18.928000000000001</v>
      </c>
      <c r="D39" s="10">
        <f>D37*D38</f>
        <v>18.928000000000001</v>
      </c>
      <c r="E39" s="10">
        <f>E37*E38</f>
        <v>18.928000000000001</v>
      </c>
      <c r="F39" s="10">
        <f>F37*F38</f>
        <v>18.928000000000001</v>
      </c>
      <c r="G39" s="10">
        <f>G37*G38</f>
        <v>18.928000000000001</v>
      </c>
    </row>
  </sheetData>
  <pageMargins left="0.4" right="0.4" top="0.5" bottom="0.5" header="0.5" footer="0.5"/>
  <pageSetup orientation="landscape"/>
  <headerFooter>
    <oddFooter>&amp;C&amp;8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5"/>
  <sheetViews>
    <sheetView showGridLines="0" workbookViewId="0">
      <selection activeCell="J47" sqref="J47"/>
    </sheetView>
  </sheetViews>
  <sheetFormatPr baseColWidth="10" defaultColWidth="8.83203125" defaultRowHeight="15" x14ac:dyDescent="0.2"/>
  <cols>
    <col min="1" max="1" width="58" customWidth="1"/>
    <col min="2" max="7" width="13" customWidth="1"/>
  </cols>
  <sheetData>
    <row r="1" spans="1:7" ht="18" x14ac:dyDescent="0.2">
      <c r="A1" s="20" t="s">
        <v>237</v>
      </c>
    </row>
    <row r="3" spans="1:7" x14ac:dyDescent="0.2">
      <c r="A3" s="3" t="s">
        <v>238</v>
      </c>
      <c r="B3" s="4"/>
      <c r="C3" s="4"/>
      <c r="D3" s="4"/>
      <c r="E3" s="4"/>
      <c r="F3" s="4"/>
      <c r="G3" s="4"/>
    </row>
    <row r="4" spans="1:7" x14ac:dyDescent="0.2">
      <c r="A4" s="5" t="s">
        <v>239</v>
      </c>
      <c r="B4" s="32">
        <f>Assumptions!$B$72</f>
        <v>5</v>
      </c>
    </row>
    <row r="5" spans="1:7" x14ac:dyDescent="0.2">
      <c r="A5" s="5" t="s">
        <v>240</v>
      </c>
      <c r="B5" s="44">
        <f>INDEX('Operating Model'!$C$7:$G$7,B4)</f>
        <v>2969.9773606080003</v>
      </c>
    </row>
    <row r="6" spans="1:7" x14ac:dyDescent="0.2">
      <c r="A6" s="5" t="s">
        <v>136</v>
      </c>
      <c r="B6" s="45">
        <f>Assumptions!$B$73</f>
        <v>4.7698212044609667</v>
      </c>
    </row>
    <row r="7" spans="1:7" x14ac:dyDescent="0.2">
      <c r="A7" s="16" t="s">
        <v>241</v>
      </c>
      <c r="B7" s="46">
        <f>B5*B6</f>
        <v>14166.260991397055</v>
      </c>
    </row>
    <row r="8" spans="1:7" x14ac:dyDescent="0.2">
      <c r="A8" s="5" t="s">
        <v>242</v>
      </c>
      <c r="B8" s="44">
        <f>INDEX('Debt Schedule'!$C$29:$G$29,B4)</f>
        <v>8888.7193564846712</v>
      </c>
    </row>
    <row r="9" spans="1:7" x14ac:dyDescent="0.2">
      <c r="A9" s="5" t="s">
        <v>243</v>
      </c>
      <c r="B9" s="44">
        <f>INDEX('Debt Schedule'!$C$24:$G$24,B4)</f>
        <v>589.2602145051103</v>
      </c>
    </row>
    <row r="10" spans="1:7" x14ac:dyDescent="0.2">
      <c r="A10" s="16" t="s">
        <v>244</v>
      </c>
      <c r="B10" s="46">
        <f>B7-B8+B9</f>
        <v>5866.8018494174949</v>
      </c>
    </row>
    <row r="11" spans="1:7" x14ac:dyDescent="0.2">
      <c r="A11" s="5" t="s">
        <v>245</v>
      </c>
      <c r="B11" s="44">
        <f>Assumptions!$B$69*MAX(B10-B14,0)</f>
        <v>103.21396907499955</v>
      </c>
    </row>
    <row r="12" spans="1:7" x14ac:dyDescent="0.2">
      <c r="A12" s="16" t="s">
        <v>246</v>
      </c>
      <c r="B12" s="46">
        <f>B10-B11</f>
        <v>5763.5878803424957</v>
      </c>
    </row>
    <row r="13" spans="1:7" x14ac:dyDescent="0.2">
      <c r="A13" s="3" t="s">
        <v>247</v>
      </c>
      <c r="B13" s="4"/>
      <c r="C13" s="4"/>
      <c r="D13" s="4"/>
      <c r="E13" s="4"/>
      <c r="F13" s="4"/>
      <c r="G13" s="4"/>
    </row>
    <row r="14" spans="1:7" x14ac:dyDescent="0.2">
      <c r="A14" s="5" t="s">
        <v>248</v>
      </c>
      <c r="B14" s="44">
        <f>'Sources &amp; Uses'!B15</f>
        <v>4576.6272359800005</v>
      </c>
    </row>
    <row r="15" spans="1:7" x14ac:dyDescent="0.2">
      <c r="A15" s="16" t="s">
        <v>249</v>
      </c>
      <c r="B15" s="52">
        <f>B12/B14</f>
        <v>1.2593527030191545</v>
      </c>
    </row>
    <row r="16" spans="1:7" x14ac:dyDescent="0.2">
      <c r="A16" s="16" t="s">
        <v>250</v>
      </c>
      <c r="B16" s="19">
        <f>IF(B15&gt;0,B15^(1/B4)-1,-1)</f>
        <v>4.7199619474759258E-2</v>
      </c>
    </row>
    <row r="17" spans="1:7" x14ac:dyDescent="0.2">
      <c r="A17" s="5" t="s">
        <v>251</v>
      </c>
      <c r="B17" s="13">
        <f>B10/B14</f>
        <v>1.2819051119773419</v>
      </c>
    </row>
    <row r="18" spans="1:7" x14ac:dyDescent="0.2">
      <c r="A18" s="5" t="s">
        <v>252</v>
      </c>
      <c r="B18" s="8">
        <f>IF(B17&gt;0,B17^(1/B4)-1,-1)</f>
        <v>5.0923675087704012E-2</v>
      </c>
    </row>
    <row r="20" spans="1:7" x14ac:dyDescent="0.2">
      <c r="A20" s="3" t="s">
        <v>253</v>
      </c>
      <c r="B20" s="4"/>
      <c r="C20" s="4"/>
      <c r="D20" s="4"/>
      <c r="E20" s="4"/>
      <c r="F20" s="4"/>
      <c r="G20" s="4"/>
    </row>
    <row r="21" spans="1:7" x14ac:dyDescent="0.2">
      <c r="A21" s="5" t="s">
        <v>254</v>
      </c>
      <c r="B21" s="44">
        <f>(B5-Assumptions!$B$12)*Assumptions!$B$33</f>
        <v>1541.3683973607799</v>
      </c>
    </row>
    <row r="22" spans="1:7" x14ac:dyDescent="0.2">
      <c r="A22" s="5" t="s">
        <v>255</v>
      </c>
      <c r="B22" s="44">
        <f>(B6-Assumptions!$B$33)*B5</f>
        <v>-2184.4512039637243</v>
      </c>
    </row>
    <row r="23" spans="1:7" x14ac:dyDescent="0.2">
      <c r="A23" s="5" t="s">
        <v>256</v>
      </c>
      <c r="B23" s="44">
        <f>('Debt Schedule'!B29-Assumptions!$B$38)-INDEX('Debt Schedule'!$C$30:$G$30,B4)</f>
        <v>2360.5408580204385</v>
      </c>
    </row>
    <row r="24" spans="1:7" x14ac:dyDescent="0.2">
      <c r="A24" s="5" t="s">
        <v>257</v>
      </c>
      <c r="B24" s="44">
        <f>-('Sources &amp; Uses'!B6+'Sources &amp; Uses'!B7+'Sources &amp; Uses'!B8)</f>
        <v>-427.28343798000003</v>
      </c>
    </row>
    <row r="25" spans="1:7" x14ac:dyDescent="0.2">
      <c r="A25" s="5" t="s">
        <v>245</v>
      </c>
      <c r="B25" s="10">
        <f>-B11</f>
        <v>-103.21396907499955</v>
      </c>
    </row>
    <row r="26" spans="1:7" x14ac:dyDescent="0.2">
      <c r="A26" s="16" t="s">
        <v>258</v>
      </c>
      <c r="B26" s="46">
        <f>SUM(B21:B25)</f>
        <v>1186.9606443624943</v>
      </c>
    </row>
    <row r="27" spans="1:7" x14ac:dyDescent="0.2">
      <c r="A27" s="5" t="s">
        <v>259</v>
      </c>
      <c r="B27" s="25">
        <f>B26-(B12-B14)</f>
        <v>0</v>
      </c>
    </row>
    <row r="29" spans="1:7" x14ac:dyDescent="0.2">
      <c r="A29" s="3" t="s">
        <v>16</v>
      </c>
      <c r="B29" s="4"/>
      <c r="C29" s="4"/>
      <c r="D29" s="4"/>
      <c r="E29" s="4"/>
      <c r="F29" s="4"/>
      <c r="G29" s="4"/>
    </row>
    <row r="30" spans="1:7" x14ac:dyDescent="0.2">
      <c r="A30" s="5" t="s">
        <v>260</v>
      </c>
      <c r="B30" s="53" t="str">
        <f>IF(ABS('Sources &amp; Uses'!B17)&lt;0.01,"OK","ERROR")</f>
        <v>OK</v>
      </c>
    </row>
    <row r="31" spans="1:7" x14ac:dyDescent="0.2">
      <c r="A31" s="5" t="s">
        <v>261</v>
      </c>
      <c r="B31" s="53" t="str">
        <f>IF(ABS(B27)&lt;0.01,"OK","ERROR")</f>
        <v>OK</v>
      </c>
    </row>
    <row r="32" spans="1:7" x14ac:dyDescent="0.2">
      <c r="A32" s="5" t="s">
        <v>262</v>
      </c>
      <c r="B32" s="53" t="str">
        <f>IF(COUNTIF('Debt Schedule'!C27:G27,"OK")=5,"OK","REVIEW: revolver would be drawn")</f>
        <v>OK</v>
      </c>
    </row>
    <row r="33" spans="1:7" x14ac:dyDescent="0.2">
      <c r="A33" s="5" t="s">
        <v>263</v>
      </c>
      <c r="B33" s="53" t="str">
        <f>IF(MIN('Debt Schedule'!C11:G11)&gt;=-0.001,"OK","ERROR")</f>
        <v>OK</v>
      </c>
    </row>
    <row r="34" spans="1:7" x14ac:dyDescent="0.2">
      <c r="A34" s="5" t="s">
        <v>264</v>
      </c>
      <c r="B34" s="53" t="str">
        <f>IF(COUNTA(Sensitivities!B5:B10)=0,"OK","ERROR: clear Sensitivities!B5:B10")</f>
        <v>OK</v>
      </c>
    </row>
    <row r="36" spans="1:7" x14ac:dyDescent="0.2">
      <c r="A36" s="3" t="s">
        <v>265</v>
      </c>
      <c r="B36" s="4"/>
      <c r="C36" s="4"/>
      <c r="D36" s="4"/>
      <c r="E36" s="4"/>
      <c r="F36" s="4"/>
      <c r="G36" s="4"/>
    </row>
    <row r="37" spans="1:7" x14ac:dyDescent="0.2">
      <c r="A37" s="5" t="s">
        <v>266</v>
      </c>
      <c r="C37" s="38">
        <v>-1</v>
      </c>
      <c r="D37" s="38">
        <v>-0.5</v>
      </c>
      <c r="E37" s="38">
        <v>0</v>
      </c>
      <c r="F37" s="38">
        <v>0.5</v>
      </c>
      <c r="G37" s="38">
        <v>1</v>
      </c>
    </row>
    <row r="38" spans="1:7" x14ac:dyDescent="0.2">
      <c r="A38" s="5" t="s">
        <v>8</v>
      </c>
      <c r="C38" s="13">
        <f>$B$6+C37</f>
        <v>3.7698212044609667</v>
      </c>
      <c r="D38" s="13">
        <f>$B$6+D37</f>
        <v>4.2698212044609667</v>
      </c>
      <c r="E38" s="13">
        <f>$B$6+E37</f>
        <v>4.7698212044609667</v>
      </c>
      <c r="F38" s="13">
        <f>$B$6+F37</f>
        <v>5.2698212044609667</v>
      </c>
      <c r="G38" s="13">
        <f>$B$6+G37</f>
        <v>5.7698212044609667</v>
      </c>
    </row>
    <row r="39" spans="1:7" x14ac:dyDescent="0.2">
      <c r="A39" s="5" t="s">
        <v>267</v>
      </c>
      <c r="C39" s="45">
        <f>((C38*$B$5-$B$8+$B$9)-Assumptions!$B$69*MAX((C38*$B$5-$B$8+$B$9)-$B$14,0))/$B$14</f>
        <v>0.63296054920872125</v>
      </c>
      <c r="D39" s="45">
        <f>((D38*$B$5-$B$8+$B$9)-Assumptions!$B$69*MAX((D38*$B$5-$B$8+$B$9)-$B$14,0))/$B$14</f>
        <v>0.95743283059303153</v>
      </c>
      <c r="E39" s="45">
        <f>((E38*$B$5-$B$8+$B$9)-Assumptions!$B$69*MAX((E38*$B$5-$B$8+$B$9)-$B$14,0))/$B$14</f>
        <v>1.2593527030191545</v>
      </c>
      <c r="F39" s="45">
        <f>((F38*$B$5-$B$8+$B$9)-Assumptions!$B$69*MAX((F38*$B$5-$B$8+$B$9)-$B$14,0))/$B$14</f>
        <v>1.5578672018927195</v>
      </c>
      <c r="G39" s="45">
        <f>((G38*$B$5-$B$8+$B$9)-Assumptions!$B$69*MAX((G38*$B$5-$B$8+$B$9)-$B$14,0))/$B$14</f>
        <v>1.8563817007662844</v>
      </c>
    </row>
    <row r="40" spans="1:7" x14ac:dyDescent="0.2">
      <c r="A40" s="5" t="s">
        <v>268</v>
      </c>
      <c r="C40" s="8">
        <f>IF(C39&gt;0,C39^(1/$B$4)-1,-1)</f>
        <v>-8.7410792318397434E-2</v>
      </c>
      <c r="D40" s="8">
        <f>IF(D39&gt;0,D39^(1/$B$4)-1,-1)</f>
        <v>-8.662207253469445E-3</v>
      </c>
      <c r="E40" s="8">
        <f>IF(E39&gt;0,E39^(1/$B$4)-1,-1)</f>
        <v>4.7199619474759258E-2</v>
      </c>
      <c r="F40" s="8">
        <f>IF(F39&gt;0,F39^(1/$B$4)-1,-1)</f>
        <v>9.2712941922302061E-2</v>
      </c>
      <c r="G40" s="8">
        <f>IF(G39&gt;0,G39^(1/$B$4)-1,-1)</f>
        <v>0.13170557612847067</v>
      </c>
    </row>
    <row r="42" spans="1:7" x14ac:dyDescent="0.2">
      <c r="A42" s="3" t="s">
        <v>269</v>
      </c>
      <c r="B42" s="4"/>
      <c r="C42" s="4"/>
      <c r="D42" s="4"/>
      <c r="E42" s="4"/>
      <c r="F42" s="4"/>
      <c r="G42" s="4"/>
    </row>
    <row r="43" spans="1:7" x14ac:dyDescent="0.2">
      <c r="A43" s="5" t="s">
        <v>270</v>
      </c>
      <c r="B43" s="45">
        <f>INDEX('Debt Schedule'!$C$32:$G$32,B4)</f>
        <v>2.7944519887789765</v>
      </c>
    </row>
    <row r="44" spans="1:7" x14ac:dyDescent="0.2">
      <c r="A44" s="5" t="s">
        <v>271</v>
      </c>
      <c r="B44" s="45">
        <f>MIN('Debt Schedule'!$C$33:INDEX('Debt Schedule'!$C$33:$G$33,B4))</f>
        <v>3.3561332178661072</v>
      </c>
    </row>
    <row r="45" spans="1:7" x14ac:dyDescent="0.2">
      <c r="A45" s="5" t="s">
        <v>272</v>
      </c>
      <c r="B45" s="45">
        <f>MIN('Debt Schedule'!$C$34:INDEX('Debt Schedule'!$C$34:$G$34,B4))</f>
        <v>1.7129067651073699</v>
      </c>
    </row>
  </sheetData>
  <pageMargins left="0.4" right="0.4" top="0.5" bottom="0.5" header="0.5" footer="0.5"/>
  <pageSetup orientation="landscape"/>
  <headerFooter>
    <oddFooter>&amp;C&amp;8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0"/>
  <sheetViews>
    <sheetView showGridLines="0" workbookViewId="0">
      <selection activeCell="A2" sqref="A2"/>
    </sheetView>
  </sheetViews>
  <sheetFormatPr baseColWidth="10" defaultColWidth="8.83203125" defaultRowHeight="15" x14ac:dyDescent="0.2"/>
  <cols>
    <col min="1" max="1" width="40" customWidth="1"/>
    <col min="2" max="8" width="14" customWidth="1"/>
  </cols>
  <sheetData>
    <row r="1" spans="1:8" ht="18" x14ac:dyDescent="0.2">
      <c r="A1" s="20" t="s">
        <v>336</v>
      </c>
    </row>
    <row r="2" spans="1:8" x14ac:dyDescent="0.2">
      <c r="A2" s="2" t="s">
        <v>273</v>
      </c>
    </row>
    <row r="4" spans="1:8" x14ac:dyDescent="0.2">
      <c r="A4" s="3" t="s">
        <v>274</v>
      </c>
      <c r="B4" s="4"/>
      <c r="C4" s="4"/>
      <c r="D4" s="4"/>
      <c r="E4" s="4"/>
      <c r="F4" s="4"/>
      <c r="G4" s="4"/>
      <c r="H4" s="4"/>
    </row>
    <row r="5" spans="1:8" x14ac:dyDescent="0.2">
      <c r="A5" s="5" t="s">
        <v>22</v>
      </c>
      <c r="B5" s="54"/>
      <c r="C5" s="2" t="s">
        <v>275</v>
      </c>
    </row>
    <row r="6" spans="1:8" x14ac:dyDescent="0.2">
      <c r="A6" s="5" t="s">
        <v>276</v>
      </c>
      <c r="B6" s="55"/>
    </row>
    <row r="7" spans="1:8" x14ac:dyDescent="0.2">
      <c r="A7" s="5" t="s">
        <v>277</v>
      </c>
      <c r="B7" s="54"/>
    </row>
    <row r="8" spans="1:8" x14ac:dyDescent="0.2">
      <c r="A8" s="5" t="s">
        <v>278</v>
      </c>
      <c r="B8" s="55"/>
    </row>
    <row r="9" spans="1:8" x14ac:dyDescent="0.2">
      <c r="A9" s="5" t="s">
        <v>279</v>
      </c>
      <c r="B9" s="54"/>
    </row>
    <row r="10" spans="1:8" x14ac:dyDescent="0.2">
      <c r="A10" s="5" t="s">
        <v>280</v>
      </c>
      <c r="B10" s="56"/>
    </row>
    <row r="12" spans="1:8" x14ac:dyDescent="0.2">
      <c r="A12" s="3" t="s">
        <v>281</v>
      </c>
      <c r="B12" s="4"/>
      <c r="C12" s="4"/>
      <c r="D12" s="4"/>
      <c r="E12" s="4"/>
      <c r="F12" s="4"/>
      <c r="G12" s="4"/>
      <c r="H12" s="4"/>
    </row>
    <row r="13" spans="1:8" x14ac:dyDescent="0.2">
      <c r="A13" s="57">
        <f>'Returns Analysis'!B16</f>
        <v>4.7199619474759258E-2</v>
      </c>
      <c r="B13" s="58">
        <v>-1</v>
      </c>
      <c r="C13" s="58">
        <v>-0.5</v>
      </c>
      <c r="D13" s="58">
        <v>0</v>
      </c>
      <c r="E13" s="58">
        <v>0.5</v>
      </c>
      <c r="F13" s="58">
        <v>1</v>
      </c>
    </row>
    <row r="14" spans="1:8" x14ac:dyDescent="0.2">
      <c r="A14" s="59">
        <v>0</v>
      </c>
      <c r="B14" s="8">
        <f t="dataTable" ref="B14:F18" dt2D="1" dtr="1" r1="B6" r2="B5" ca="1"/>
        <v>-0.19740213009221896</v>
      </c>
      <c r="C14" s="8">
        <v>-8.9159409811798596E-2</v>
      </c>
      <c r="D14" s="8">
        <v>-1.6366169331521463E-2</v>
      </c>
      <c r="E14" s="8">
        <v>3.6707148626478947E-2</v>
      </c>
      <c r="F14" s="8">
        <v>7.9788130467848495E-2</v>
      </c>
    </row>
    <row r="15" spans="1:8" x14ac:dyDescent="0.2">
      <c r="A15" s="59">
        <v>0.01</v>
      </c>
      <c r="B15" s="8">
        <v>-0.13636169212429394</v>
      </c>
      <c r="C15" s="8">
        <v>-4.6210333128894443E-2</v>
      </c>
      <c r="D15" s="8">
        <v>1.7451490030363059E-2</v>
      </c>
      <c r="E15" s="8">
        <v>6.5688672909677948E-2</v>
      </c>
      <c r="F15" s="8">
        <v>0.10650384212766228</v>
      </c>
    </row>
    <row r="16" spans="1:8" x14ac:dyDescent="0.2">
      <c r="A16" s="59">
        <v>0.02</v>
      </c>
      <c r="B16" s="8">
        <v>-8.7410792318397434E-2</v>
      </c>
      <c r="C16" s="8">
        <v>-8.662207253469445E-3</v>
      </c>
      <c r="D16" s="8">
        <v>4.7199619474759258E-2</v>
      </c>
      <c r="E16" s="8">
        <v>9.2712941922302061E-2</v>
      </c>
      <c r="F16" s="8">
        <v>0.13170557612847067</v>
      </c>
    </row>
    <row r="17" spans="1:8" x14ac:dyDescent="0.2">
      <c r="A17" s="59">
        <v>0.03</v>
      </c>
      <c r="B17" s="8">
        <v>-4.5833970131137103E-2</v>
      </c>
      <c r="C17" s="8">
        <v>2.3118520915171192E-2</v>
      </c>
      <c r="D17" s="8">
        <v>7.4830754661342258E-2</v>
      </c>
      <c r="E17" s="8">
        <v>0.11816308239708695</v>
      </c>
      <c r="F17" s="8">
        <v>0.15566342062560867</v>
      </c>
    </row>
    <row r="18" spans="1:8" x14ac:dyDescent="0.2">
      <c r="A18" s="59">
        <v>0.04</v>
      </c>
      <c r="B18" s="8">
        <v>-9.2498987879731098E-3</v>
      </c>
      <c r="C18" s="8">
        <v>5.1787372201249182E-2</v>
      </c>
      <c r="D18" s="8">
        <v>0.10076697305379634</v>
      </c>
      <c r="E18" s="8">
        <v>0.14231965686939985</v>
      </c>
      <c r="F18" s="8">
        <v>0.17858093515723339</v>
      </c>
    </row>
    <row r="20" spans="1:8" x14ac:dyDescent="0.2">
      <c r="A20" s="3" t="s">
        <v>282</v>
      </c>
      <c r="B20" s="4"/>
      <c r="C20" s="4"/>
      <c r="D20" s="4"/>
      <c r="E20" s="4"/>
      <c r="F20" s="4"/>
      <c r="G20" s="4"/>
      <c r="H20" s="4"/>
    </row>
    <row r="21" spans="1:8" x14ac:dyDescent="0.2">
      <c r="A21" s="57">
        <f>'Returns Analysis'!B15</f>
        <v>1.2593527030191545</v>
      </c>
      <c r="B21" s="58">
        <v>-1</v>
      </c>
      <c r="C21" s="58">
        <v>-0.5</v>
      </c>
      <c r="D21" s="58">
        <v>0</v>
      </c>
      <c r="E21" s="58">
        <v>0.5</v>
      </c>
      <c r="F21" s="58">
        <v>1</v>
      </c>
    </row>
    <row r="22" spans="1:8" x14ac:dyDescent="0.2">
      <c r="A22" s="59">
        <v>0</v>
      </c>
      <c r="B22" s="13">
        <f t="dataTable" ref="B22:F26" dt2D="1" dtr="1" r1="B6" r2="B5" ca="1"/>
        <v>0.33303510447525919</v>
      </c>
      <c r="C22" s="13">
        <v>0.62691964666083067</v>
      </c>
      <c r="D22" s="13">
        <v>0.92080418884640225</v>
      </c>
      <c r="E22" s="13">
        <v>1.1975136325494158</v>
      </c>
      <c r="F22" s="13">
        <v>1.4678874113601417</v>
      </c>
    </row>
    <row r="23" spans="1:8" x14ac:dyDescent="0.2">
      <c r="A23" s="59">
        <v>0.01</v>
      </c>
      <c r="B23" s="13">
        <v>0.48046249157859483</v>
      </c>
      <c r="C23" s="13">
        <v>0.789338098984668</v>
      </c>
      <c r="D23" s="13">
        <v>1.0903566098794817</v>
      </c>
      <c r="E23" s="13">
        <v>1.3745221686930691</v>
      </c>
      <c r="F23" s="13">
        <v>1.6586877275066563</v>
      </c>
    </row>
    <row r="24" spans="1:8" x14ac:dyDescent="0.2">
      <c r="A24" s="59">
        <v>0.02</v>
      </c>
      <c r="B24" s="13">
        <v>0.63296054920872125</v>
      </c>
      <c r="C24" s="13">
        <v>0.95743283059303153</v>
      </c>
      <c r="D24" s="13">
        <v>1.2593527030191545</v>
      </c>
      <c r="E24" s="13">
        <v>1.5578672018927195</v>
      </c>
      <c r="F24" s="13">
        <v>1.8563817007662844</v>
      </c>
    </row>
    <row r="25" spans="1:8" x14ac:dyDescent="0.2">
      <c r="A25" s="59">
        <v>0.03</v>
      </c>
      <c r="B25" s="13">
        <v>0.79089668264426904</v>
      </c>
      <c r="C25" s="13">
        <v>1.1210622601785247</v>
      </c>
      <c r="D25" s="13">
        <v>1.4344995723243219</v>
      </c>
      <c r="E25" s="13">
        <v>1.7479368844701193</v>
      </c>
      <c r="F25" s="13">
        <v>2.0613741966159158</v>
      </c>
    </row>
    <row r="26" spans="1:8" x14ac:dyDescent="0.2">
      <c r="A26" s="59">
        <v>0.04</v>
      </c>
      <c r="B26" s="13">
        <v>0.95459823459994786</v>
      </c>
      <c r="C26" s="13">
        <v>1.2871814185548771</v>
      </c>
      <c r="D26" s="13">
        <v>1.6161324612778025</v>
      </c>
      <c r="E26" s="13">
        <v>1.9450835040007277</v>
      </c>
      <c r="F26" s="13">
        <v>2.2740345467236529</v>
      </c>
    </row>
    <row r="28" spans="1:8" x14ac:dyDescent="0.2">
      <c r="A28" s="3" t="s">
        <v>283</v>
      </c>
      <c r="B28" s="4"/>
      <c r="C28" s="4"/>
      <c r="D28" s="4"/>
      <c r="E28" s="4"/>
      <c r="F28" s="4"/>
      <c r="G28" s="4"/>
      <c r="H28" s="4"/>
    </row>
    <row r="29" spans="1:8" x14ac:dyDescent="0.2">
      <c r="A29" s="60">
        <f>'Returns Analysis'!B16</f>
        <v>4.7199619474759258E-2</v>
      </c>
      <c r="B29" s="61">
        <v>3</v>
      </c>
      <c r="C29" s="61">
        <v>3.5</v>
      </c>
      <c r="D29" s="61">
        <v>4</v>
      </c>
      <c r="E29" s="61">
        <v>4.25</v>
      </c>
      <c r="F29" s="61">
        <v>4.5</v>
      </c>
    </row>
    <row r="30" spans="1:8" x14ac:dyDescent="0.2">
      <c r="A30" s="59">
        <v>0.19</v>
      </c>
      <c r="B30" s="8">
        <f t="dataTable" ref="B30:F34" dt2D="1" dtr="1" r1="B8" r2="B7" ca="1"/>
        <v>6.2513938286236748E-2</v>
      </c>
      <c r="C30" s="8">
        <v>6.4868851007024331E-2</v>
      </c>
      <c r="D30" s="8">
        <v>6.8535070003757914E-2</v>
      </c>
      <c r="E30" s="8">
        <v>7.0791548837914275E-2</v>
      </c>
      <c r="F30" s="8">
        <v>7.3245499001418191E-2</v>
      </c>
    </row>
    <row r="31" spans="1:8" x14ac:dyDescent="0.2">
      <c r="A31" s="59">
        <v>0.20499999999999999</v>
      </c>
      <c r="B31" s="8">
        <v>5.5770141453911792E-2</v>
      </c>
      <c r="C31" s="8">
        <v>5.6670677280335147E-2</v>
      </c>
      <c r="D31" s="8">
        <v>5.808241874238651E-2</v>
      </c>
      <c r="E31" s="8">
        <v>5.8648110754935034E-2</v>
      </c>
      <c r="F31" s="8">
        <v>5.8585671566548037E-2</v>
      </c>
    </row>
    <row r="32" spans="1:8" x14ac:dyDescent="0.2">
      <c r="A32" s="59">
        <v>0.22</v>
      </c>
      <c r="B32" s="8">
        <v>4.8849502067620731E-2</v>
      </c>
      <c r="C32" s="8">
        <v>4.8209890905462682E-2</v>
      </c>
      <c r="D32" s="8">
        <v>4.7199619474759258E-2</v>
      </c>
      <c r="E32" s="8">
        <v>4.5881686182774439E-2</v>
      </c>
      <c r="F32" s="8">
        <v>4.3065693590375043E-2</v>
      </c>
    </row>
    <row r="33" spans="1:8" x14ac:dyDescent="0.2">
      <c r="A33" s="59">
        <v>0.23499999999999999</v>
      </c>
      <c r="B33" s="8">
        <v>4.1741231265345791E-2</v>
      </c>
      <c r="C33" s="8">
        <v>3.9466771301888137E-2</v>
      </c>
      <c r="D33" s="8">
        <v>3.5844671668432859E-2</v>
      </c>
      <c r="E33" s="8">
        <v>3.2459668069315217E-2</v>
      </c>
      <c r="F33" s="8">
        <v>2.6562946776859553E-2</v>
      </c>
    </row>
    <row r="34" spans="1:8" x14ac:dyDescent="0.2">
      <c r="A34" s="59">
        <v>0.25</v>
      </c>
      <c r="B34" s="8">
        <v>3.4433480251982118E-2</v>
      </c>
      <c r="C34" s="8">
        <v>3.0419193534268585E-2</v>
      </c>
      <c r="D34" s="8">
        <v>2.3968827311744434E-2</v>
      </c>
      <c r="E34" s="8">
        <v>1.8301072324341305E-2</v>
      </c>
      <c r="F34" s="8">
        <v>8.9252616070685242E-3</v>
      </c>
    </row>
    <row r="36" spans="1:8" x14ac:dyDescent="0.2">
      <c r="A36" s="3" t="s">
        <v>284</v>
      </c>
      <c r="B36" s="4"/>
      <c r="C36" s="4"/>
      <c r="D36" s="4"/>
      <c r="E36" s="4"/>
      <c r="F36" s="4"/>
      <c r="G36" s="4"/>
      <c r="H36" s="4"/>
    </row>
    <row r="37" spans="1:8" x14ac:dyDescent="0.2">
      <c r="A37" s="62">
        <f>'Returns Analysis'!B16</f>
        <v>4.7199619474759258E-2</v>
      </c>
      <c r="B37" s="58">
        <v>-1</v>
      </c>
      <c r="C37" s="58">
        <v>-0.5</v>
      </c>
      <c r="D37" s="58">
        <v>0</v>
      </c>
      <c r="E37" s="58">
        <v>0.5</v>
      </c>
      <c r="F37" s="58">
        <v>1</v>
      </c>
    </row>
    <row r="38" spans="1:8" x14ac:dyDescent="0.2">
      <c r="A38" s="59">
        <v>0.25</v>
      </c>
      <c r="B38" s="8">
        <f t="dataTable" ref="B38:F42" dt2D="1" dtr="1" r1="B6" r2="B9" ca="1"/>
        <v>-6.276358690545325E-2</v>
      </c>
      <c r="C38" s="8">
        <v>1.6709679112553388E-2</v>
      </c>
      <c r="D38" s="8">
        <v>7.3772342362245169E-2</v>
      </c>
      <c r="E38" s="8">
        <v>0.12078336250439037</v>
      </c>
      <c r="F38" s="8">
        <v>0.16101826927560481</v>
      </c>
    </row>
    <row r="39" spans="1:8" x14ac:dyDescent="0.2">
      <c r="A39" s="59">
        <v>0.3</v>
      </c>
      <c r="B39" s="8">
        <v>-7.5579412725430228E-2</v>
      </c>
      <c r="C39" s="8">
        <v>3.8574744316464127E-3</v>
      </c>
      <c r="D39" s="8">
        <v>5.9934186573448622E-2</v>
      </c>
      <c r="E39" s="8">
        <v>0.10616954562898506</v>
      </c>
      <c r="F39" s="8">
        <v>0.1457607434587691</v>
      </c>
    </row>
    <row r="40" spans="1:8" x14ac:dyDescent="0.2">
      <c r="A40" s="59">
        <v>0.35</v>
      </c>
      <c r="B40" s="8">
        <v>-8.7410792318397434E-2</v>
      </c>
      <c r="C40" s="8">
        <v>-8.662207253469445E-3</v>
      </c>
      <c r="D40" s="8">
        <v>4.7199619474759258E-2</v>
      </c>
      <c r="E40" s="8">
        <v>9.2712941922302061E-2</v>
      </c>
      <c r="F40" s="8">
        <v>0.13170557612847067</v>
      </c>
    </row>
    <row r="41" spans="1:8" x14ac:dyDescent="0.2">
      <c r="A41" s="59">
        <v>0.4</v>
      </c>
      <c r="B41" s="8">
        <v>-9.8388053397186592E-2</v>
      </c>
      <c r="C41" s="8">
        <v>-2.0586711374984246E-2</v>
      </c>
      <c r="D41" s="8">
        <v>3.5421782860100892E-2</v>
      </c>
      <c r="E41" s="8">
        <v>8.0259748979311984E-2</v>
      </c>
      <c r="F41" s="8">
        <v>0.11869308908824161</v>
      </c>
    </row>
    <row r="42" spans="1:8" x14ac:dyDescent="0.2">
      <c r="A42" s="59">
        <v>0.45</v>
      </c>
      <c r="B42" s="8">
        <v>-0.10861784682269715</v>
      </c>
      <c r="C42" s="8">
        <v>-3.1699247825488497E-2</v>
      </c>
      <c r="D42" s="8">
        <v>2.4480540731531164E-2</v>
      </c>
      <c r="E42" s="8">
        <v>6.8684140160660601E-2</v>
      </c>
      <c r="F42" s="8">
        <v>0.10659264213303654</v>
      </c>
    </row>
    <row r="44" spans="1:8" x14ac:dyDescent="0.2">
      <c r="A44" s="3" t="s">
        <v>285</v>
      </c>
      <c r="B44" s="4"/>
      <c r="C44" s="4"/>
      <c r="D44" s="4"/>
      <c r="E44" s="4"/>
      <c r="F44" s="4"/>
      <c r="G44" s="4"/>
      <c r="H44" s="4"/>
    </row>
    <row r="45" spans="1:8" ht="30" customHeight="1" x14ac:dyDescent="0.2">
      <c r="A45" s="63" t="s">
        <v>4</v>
      </c>
      <c r="B45" s="64" t="s">
        <v>286</v>
      </c>
      <c r="C45" s="64" t="s">
        <v>287</v>
      </c>
      <c r="D45" s="64" t="s">
        <v>288</v>
      </c>
      <c r="E45" s="64" t="s">
        <v>289</v>
      </c>
      <c r="F45" s="64" t="s">
        <v>290</v>
      </c>
      <c r="G45" s="64" t="s">
        <v>291</v>
      </c>
      <c r="H45" s="64" t="s">
        <v>25</v>
      </c>
    </row>
    <row r="46" spans="1:8" x14ac:dyDescent="0.2">
      <c r="A46" s="2" t="s">
        <v>292</v>
      </c>
      <c r="C46" s="35">
        <f>'Returns Analysis'!B16</f>
        <v>4.7199619474759258E-2</v>
      </c>
      <c r="D46" s="45">
        <f>'Returns Analysis'!B15</f>
        <v>1.2593527030191545</v>
      </c>
      <c r="E46" s="45">
        <f>'Returns Analysis'!B43</f>
        <v>2.7944519887789765</v>
      </c>
      <c r="F46" s="45">
        <f>'Returns Analysis'!B44</f>
        <v>3.3561332178661072</v>
      </c>
      <c r="G46" s="45">
        <f>'Returns Analysis'!B45</f>
        <v>1.7129067651073699</v>
      </c>
      <c r="H46" s="45">
        <f>'Returns Analysis'!B6</f>
        <v>4.7698212044609667</v>
      </c>
    </row>
    <row r="47" spans="1:8" x14ac:dyDescent="0.2">
      <c r="A47" s="16" t="s">
        <v>28</v>
      </c>
      <c r="B47" s="28">
        <v>1</v>
      </c>
      <c r="C47" s="8">
        <f t="dataTable" ref="C47:H50" dt2D="0" dtr="0" r1="B10"/>
        <v>4.7199619474759258E-2</v>
      </c>
      <c r="D47" s="13">
        <v>1.2593527030191545</v>
      </c>
      <c r="E47" s="13">
        <v>2.7944519887789765</v>
      </c>
      <c r="F47" s="13">
        <v>3.3561332178661072</v>
      </c>
      <c r="G47" s="13">
        <v>1.7129067651073699</v>
      </c>
      <c r="H47" s="13">
        <v>4.7698212044609667</v>
      </c>
    </row>
    <row r="48" spans="1:8" x14ac:dyDescent="0.2">
      <c r="A48" s="16" t="s">
        <v>29</v>
      </c>
      <c r="B48" s="28">
        <v>2</v>
      </c>
      <c r="C48" s="8">
        <v>-0.13531202613284898</v>
      </c>
      <c r="D48" s="13">
        <v>0.48338936812738187</v>
      </c>
      <c r="E48" s="13">
        <v>3.4313073803834415</v>
      </c>
      <c r="F48" s="13">
        <v>3.2776913404472889</v>
      </c>
      <c r="G48" s="13">
        <v>1.5719199361994649</v>
      </c>
      <c r="H48" s="13">
        <v>4.2698212044609667</v>
      </c>
    </row>
    <row r="49" spans="1:8" x14ac:dyDescent="0.2">
      <c r="A49" s="16" t="s">
        <v>30</v>
      </c>
      <c r="B49" s="28">
        <v>3</v>
      </c>
      <c r="C49" s="8">
        <v>0.22464197375686368</v>
      </c>
      <c r="D49" s="13">
        <v>2.7545185567366426</v>
      </c>
      <c r="E49" s="13">
        <v>2.0378416805075106</v>
      </c>
      <c r="F49" s="13">
        <v>3.4813772402354362</v>
      </c>
      <c r="G49" s="13">
        <v>1.8561561522993149</v>
      </c>
      <c r="H49" s="13">
        <v>5.7698212044609667</v>
      </c>
    </row>
    <row r="50" spans="1:8" x14ac:dyDescent="0.2">
      <c r="A50" s="16" t="s">
        <v>31</v>
      </c>
      <c r="B50" s="28">
        <v>4</v>
      </c>
      <c r="C50" s="8">
        <v>0.14744138932794559</v>
      </c>
      <c r="D50" s="13">
        <v>1.989081399853039</v>
      </c>
      <c r="E50" s="13">
        <v>2.5173086589603315</v>
      </c>
      <c r="F50" s="13">
        <v>3.4020508887551557</v>
      </c>
      <c r="G50" s="13">
        <v>1.7427143727340781</v>
      </c>
      <c r="H50" s="13">
        <v>5.5053322669144977</v>
      </c>
    </row>
  </sheetData>
  <pageMargins left="0.4" right="0.4" top="0.5" bottom="0.5" header="0.5" footer="0.5"/>
  <pageSetup orientation="landscape"/>
  <headerFooter>
    <oddFooter>&amp;C&amp;8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3"/>
  <sheetViews>
    <sheetView showGridLines="0" topLeftCell="A12" workbookViewId="0">
      <selection activeCell="C46" sqref="C46"/>
    </sheetView>
  </sheetViews>
  <sheetFormatPr baseColWidth="10" defaultColWidth="8.83203125" defaultRowHeight="15" x14ac:dyDescent="0.2"/>
  <cols>
    <col min="1" max="1" width="68" customWidth="1"/>
    <col min="2" max="5" width="14" customWidth="1"/>
    <col min="6" max="6" width="80" customWidth="1"/>
  </cols>
  <sheetData>
    <row r="1" spans="1:5" ht="18" x14ac:dyDescent="0.2">
      <c r="A1" s="20" t="s">
        <v>293</v>
      </c>
    </row>
    <row r="2" spans="1:5" x14ac:dyDescent="0.2">
      <c r="A2" s="2" t="s">
        <v>294</v>
      </c>
    </row>
    <row r="3" spans="1:5" x14ac:dyDescent="0.2">
      <c r="A3" s="3"/>
      <c r="B3" s="15" t="s">
        <v>295</v>
      </c>
      <c r="C3" s="15" t="s">
        <v>296</v>
      </c>
      <c r="D3" s="15" t="s">
        <v>297</v>
      </c>
      <c r="E3" s="15" t="s">
        <v>298</v>
      </c>
    </row>
    <row r="4" spans="1:5" x14ac:dyDescent="0.2">
      <c r="A4" s="5" t="s">
        <v>184</v>
      </c>
      <c r="B4" s="21">
        <v>5129</v>
      </c>
      <c r="C4" s="21">
        <v>2591</v>
      </c>
      <c r="D4" s="21">
        <v>2555</v>
      </c>
      <c r="E4" s="10">
        <f>B4+C4-D4</f>
        <v>5165</v>
      </c>
    </row>
    <row r="5" spans="1:5" x14ac:dyDescent="0.2">
      <c r="A5" s="5" t="s">
        <v>299</v>
      </c>
      <c r="B5" s="21">
        <v>2680</v>
      </c>
      <c r="C5" s="21">
        <v>1345</v>
      </c>
      <c r="D5" s="21">
        <v>1335</v>
      </c>
      <c r="E5" s="10">
        <f>B5+C5-D5</f>
        <v>2690</v>
      </c>
    </row>
    <row r="6" spans="1:5" x14ac:dyDescent="0.2">
      <c r="A6" s="5" t="s">
        <v>300</v>
      </c>
      <c r="B6" s="21">
        <v>596</v>
      </c>
      <c r="C6" s="21">
        <v>239</v>
      </c>
      <c r="D6" s="21">
        <v>331</v>
      </c>
      <c r="E6" s="10">
        <f>B6+C6-D6</f>
        <v>504</v>
      </c>
    </row>
    <row r="7" spans="1:5" x14ac:dyDescent="0.2">
      <c r="A7" s="5" t="s">
        <v>301</v>
      </c>
      <c r="B7" s="21">
        <v>396</v>
      </c>
      <c r="C7" s="21">
        <v>170</v>
      </c>
      <c r="D7" s="21">
        <v>209</v>
      </c>
      <c r="E7" s="10">
        <f>B7+C7-D7</f>
        <v>357</v>
      </c>
    </row>
    <row r="8" spans="1:5" x14ac:dyDescent="0.2">
      <c r="A8" s="5" t="s">
        <v>302</v>
      </c>
      <c r="B8" s="21">
        <v>176</v>
      </c>
      <c r="C8" s="21">
        <v>95</v>
      </c>
      <c r="D8" s="21">
        <v>83</v>
      </c>
      <c r="E8" s="10">
        <f>B8+C8-D8</f>
        <v>188</v>
      </c>
    </row>
    <row r="9" spans="1:5" x14ac:dyDescent="0.2">
      <c r="A9" s="16" t="s">
        <v>303</v>
      </c>
      <c r="B9" s="46">
        <f>SUM(B6:B8)</f>
        <v>1168</v>
      </c>
      <c r="C9" s="46">
        <f>SUM(C6:C8)</f>
        <v>504</v>
      </c>
      <c r="D9" s="46">
        <f>SUM(D6:D8)</f>
        <v>623</v>
      </c>
      <c r="E9" s="46">
        <f>SUM(E6:E8)</f>
        <v>1049</v>
      </c>
    </row>
    <row r="10" spans="1:5" x14ac:dyDescent="0.2">
      <c r="A10" s="5" t="s">
        <v>304</v>
      </c>
      <c r="B10" s="21">
        <v>381</v>
      </c>
      <c r="C10" s="21">
        <v>194</v>
      </c>
      <c r="D10" s="21">
        <v>189</v>
      </c>
      <c r="E10" s="10">
        <f>B10+C10-D10</f>
        <v>386</v>
      </c>
    </row>
    <row r="11" spans="1:5" x14ac:dyDescent="0.2">
      <c r="A11" s="5" t="s">
        <v>305</v>
      </c>
      <c r="B11" s="21">
        <v>225</v>
      </c>
      <c r="C11" s="21">
        <v>98</v>
      </c>
      <c r="D11" s="21">
        <v>115</v>
      </c>
      <c r="E11" s="10">
        <f>B11+C11-D11</f>
        <v>208</v>
      </c>
    </row>
    <row r="12" spans="1:5" x14ac:dyDescent="0.2">
      <c r="A12" s="16" t="s">
        <v>306</v>
      </c>
      <c r="B12" s="46">
        <f>B10-B11</f>
        <v>156</v>
      </c>
      <c r="C12" s="46">
        <f>C10-C11</f>
        <v>96</v>
      </c>
      <c r="D12" s="46">
        <f>D10-D11</f>
        <v>74</v>
      </c>
      <c r="E12" s="46">
        <f>E10-E11</f>
        <v>178</v>
      </c>
    </row>
    <row r="13" spans="1:5" x14ac:dyDescent="0.2">
      <c r="A13" s="5" t="s">
        <v>307</v>
      </c>
      <c r="B13" s="21">
        <v>459</v>
      </c>
      <c r="C13" s="21">
        <v>201</v>
      </c>
      <c r="D13" s="21">
        <v>237</v>
      </c>
      <c r="E13" s="10">
        <f>B13+C13-D13</f>
        <v>423</v>
      </c>
    </row>
    <row r="14" spans="1:5" x14ac:dyDescent="0.2">
      <c r="A14" s="5" t="s">
        <v>308</v>
      </c>
      <c r="B14" s="21">
        <v>65</v>
      </c>
      <c r="C14" s="21">
        <v>25</v>
      </c>
      <c r="D14" s="21">
        <v>33</v>
      </c>
      <c r="E14" s="10">
        <f>B14+C14-D14</f>
        <v>57</v>
      </c>
    </row>
    <row r="15" spans="1:5" x14ac:dyDescent="0.2">
      <c r="A15" s="5" t="s">
        <v>309</v>
      </c>
      <c r="B15" s="21">
        <v>1367</v>
      </c>
      <c r="C15" s="21">
        <v>692</v>
      </c>
      <c r="D15" s="21">
        <v>678</v>
      </c>
      <c r="E15" s="10">
        <f>B15+C15-D15</f>
        <v>1381</v>
      </c>
    </row>
    <row r="16" spans="1:5" x14ac:dyDescent="0.2">
      <c r="A16" s="16" t="s">
        <v>310</v>
      </c>
      <c r="B16" s="21">
        <v>863</v>
      </c>
      <c r="C16" s="21">
        <v>820</v>
      </c>
      <c r="D16" s="21">
        <v>500</v>
      </c>
      <c r="E16" s="46">
        <f>B16+C16-D16</f>
        <v>1183</v>
      </c>
    </row>
    <row r="18" spans="1:6" x14ac:dyDescent="0.2">
      <c r="A18" s="5" t="s">
        <v>311</v>
      </c>
      <c r="B18" s="8">
        <f>B9/B4</f>
        <v>0.22772470267108599</v>
      </c>
      <c r="E18" s="8">
        <f>E9/E4</f>
        <v>0.20309777347531463</v>
      </c>
      <c r="F18" s="65" t="s">
        <v>312</v>
      </c>
    </row>
    <row r="19" spans="1:6" x14ac:dyDescent="0.2">
      <c r="A19" s="5" t="s">
        <v>313</v>
      </c>
      <c r="B19" s="8">
        <f>B12/B4</f>
        <v>3.0415285630727238E-2</v>
      </c>
      <c r="E19" s="8">
        <f>E12/E4</f>
        <v>3.446272991287512E-2</v>
      </c>
      <c r="F19" s="65" t="s">
        <v>314</v>
      </c>
    </row>
    <row r="21" spans="1:6" x14ac:dyDescent="0.2">
      <c r="A21" s="3" t="s">
        <v>315</v>
      </c>
      <c r="B21" s="4"/>
      <c r="C21" s="4"/>
      <c r="D21" s="4"/>
      <c r="E21" s="4"/>
      <c r="F21" s="4"/>
    </row>
    <row r="22" spans="1:6" x14ac:dyDescent="0.2">
      <c r="A22" s="5" t="s">
        <v>316</v>
      </c>
      <c r="B22" s="35">
        <f>Assumptions!$B$67</f>
        <v>0.26</v>
      </c>
      <c r="E22" s="35">
        <f>Assumptions!$B$67</f>
        <v>0.26</v>
      </c>
    </row>
    <row r="23" spans="1:6" x14ac:dyDescent="0.2">
      <c r="A23" s="5" t="s">
        <v>317</v>
      </c>
      <c r="B23" s="10">
        <f>B5-B15-B13</f>
        <v>854</v>
      </c>
      <c r="E23" s="10">
        <f>E5-E15-E13</f>
        <v>886</v>
      </c>
    </row>
    <row r="24" spans="1:6" x14ac:dyDescent="0.2">
      <c r="A24" s="5" t="s">
        <v>318</v>
      </c>
      <c r="B24" s="10">
        <f>MAX(B23,0)*B22</f>
        <v>222.04000000000002</v>
      </c>
      <c r="E24" s="10">
        <f>MAX(E23,0)*E22</f>
        <v>230.36</v>
      </c>
    </row>
    <row r="25" spans="1:6" x14ac:dyDescent="0.2">
      <c r="A25" s="16" t="s">
        <v>319</v>
      </c>
      <c r="B25" s="46">
        <f>B5-B9-B12-B13+B14-B24</f>
        <v>739.96</v>
      </c>
      <c r="E25" s="46">
        <f>E5-E9-E12-E13+E14-E24</f>
        <v>866.64</v>
      </c>
    </row>
    <row r="26" spans="1:6" x14ac:dyDescent="0.2">
      <c r="A26" s="5" t="s">
        <v>320</v>
      </c>
      <c r="B26" s="10">
        <f>B25-B16</f>
        <v>-123.03999999999996</v>
      </c>
      <c r="E26" s="10">
        <f>E25-E16</f>
        <v>-316.36</v>
      </c>
      <c r="F26" s="65" t="s">
        <v>321</v>
      </c>
    </row>
    <row r="27" spans="1:6" x14ac:dyDescent="0.2">
      <c r="A27" s="5" t="s">
        <v>322</v>
      </c>
      <c r="B27" s="8">
        <f>B25/B16-1</f>
        <v>-0.14257242178447271</v>
      </c>
      <c r="E27" s="8">
        <f>E25/E16-1</f>
        <v>-0.26742180896027046</v>
      </c>
    </row>
    <row r="29" spans="1:6" x14ac:dyDescent="0.2">
      <c r="A29" s="2" t="s">
        <v>323</v>
      </c>
    </row>
    <row r="30" spans="1:6" x14ac:dyDescent="0.2">
      <c r="A30" s="2" t="s">
        <v>333</v>
      </c>
    </row>
    <row r="31" spans="1:6" x14ac:dyDescent="0.2">
      <c r="A31" s="2" t="s">
        <v>324</v>
      </c>
    </row>
    <row r="32" spans="1:6" x14ac:dyDescent="0.2">
      <c r="A32" s="2" t="s">
        <v>325</v>
      </c>
    </row>
    <row r="33" spans="1:1" x14ac:dyDescent="0.2">
      <c r="A33" s="2" t="s">
        <v>326</v>
      </c>
    </row>
  </sheetData>
  <pageMargins left="0.4" right="0.4" top="0.5" bottom="0.5" header="0.5" footer="0.5"/>
  <pageSetup scale="59" orientation="landscape"/>
  <headerFooter>
    <oddFooter>&amp;C&amp;8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Assumptions</vt:lpstr>
      <vt:lpstr>Dilution</vt:lpstr>
      <vt:lpstr>Sources &amp; Uses</vt:lpstr>
      <vt:lpstr>Operating Model</vt:lpstr>
      <vt:lpstr>Debt Schedule</vt:lpstr>
      <vt:lpstr>Returns Analysis</vt:lpstr>
      <vt:lpstr>Sensitivities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ADT Inc. - Illustrative Take-Private LBO Model</dc:title>
  <dc:subject>Leveraged buyout analysis built from SEC filings</dc:subject>
  <dc:creator>Varun Chawda</dc:creator>
  <cp:lastModifiedBy>Varun Chawda</cp:lastModifiedBy>
  <cp:lastPrinted>2026-10-04T20:36:47Z</cp:lastPrinted>
  <dcterms:created xsi:type="dcterms:W3CDTF">2026-10-04T19:08:14Z</dcterms:created>
  <dcterms:modified xsi:type="dcterms:W3CDTF">2026-10-04T20:36:57Z</dcterms:modified>
</cp:coreProperties>
</file>